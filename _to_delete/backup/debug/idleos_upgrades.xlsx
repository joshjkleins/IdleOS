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ll Upgrades" sheetId="1" state="visible" r:id="rId3"/>
    <sheet name="Inputs" sheetId="2" state="visible" r:id="rId4"/>
    <sheet name="Summary" sheetId="3" state="visible" r:id="rId5"/>
    <sheet name="Max Anonymity" sheetId="4" state="visible" r:id="rId6"/>
    <sheet name="Tier Totals" sheetId="5" state="visible" r:id="rId7"/>
    <sheet name="Rare Demand" sheetId="6" state="visible" r:id="rId8"/>
    <sheet name="Counts" sheetId="7" state="visible" r:id="rId9"/>
  </sheets>
  <definedNames>
    <definedName function="false" hidden="true" localSheetId="0" name="_xlnm._FilterDatabase" vbProcedure="false">'All Upgrades'!$A$1:$S$541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<sst xmlns="http://schemas.openxmlformats.org/spreadsheetml/2006/main" count="6828" uniqueCount="1115">
  <si>
    <t xml:space="preserve">Group</t>
  </si>
  <si>
    <t xml:space="preserve">Tier</t>
  </si>
  <si>
    <t xml:space="preserve">Location</t>
  </si>
  <si>
    <t xml:space="preserve">Install #</t>
  </si>
  <si>
    <t xml:space="preserve">Version at</t>
  </si>
  <si>
    <t xml:space="preserve">Slot type</t>
  </si>
  <si>
    <t xml:space="preserve">Upgrade</t>
  </si>
  <si>
    <t xml:space="preserve">Effect</t>
  </si>
  <si>
    <t xml:space="preserve">Per-install value</t>
  </si>
  <si>
    <t xml:space="preserve">Total after install</t>
  </si>
  <si>
    <t xml:space="preserve">Cost item</t>
  </si>
  <si>
    <t xml:space="preserve">Amount</t>
  </si>
  <si>
    <t xml:space="preserve">Capstone rare</t>
  </si>
  <si>
    <t xml:space="preserve">Rares</t>
  </si>
  <si>
    <t xml:space="preserve">Rate key</t>
  </si>
  <si>
    <t xml:space="preserve">Notes</t>
  </si>
  <si>
    <t xml:space="preserve">Package id</t>
  </si>
  <si>
    <t xml:space="preserve">Game value</t>
  </si>
  <si>
    <t xml:space="preserve">Before install</t>
  </si>
  <si>
    <t xml:space="preserve">System</t>
  </si>
  <si>
    <t xml:space="preserve">School</t>
  </si>
  <si>
    <t xml:space="preserve">v0.1</t>
  </si>
  <si>
    <t xml:space="preserve">Track</t>
  </si>
  <si>
    <t xml:space="preserve">Cooling</t>
  </si>
  <si>
    <t xml:space="preserve">Passive cooling per second</t>
  </si>
  <si>
    <t xml:space="preserve">+0.3 C/s</t>
  </si>
  <si>
    <t xml:space="preserve">0.5 C/s cooling</t>
  </si>
  <si>
    <t xml:space="preserve">Logs</t>
  </si>
  <si>
    <t xml:space="preserve">mining</t>
  </si>
  <si>
    <t xml:space="preserve">system.cooling_amount</t>
  </si>
  <si>
    <t xml:space="preserve">0.2 C/s cooling</t>
  </si>
  <si>
    <t xml:space="preserve">v0.2</t>
  </si>
  <si>
    <t xml:space="preserve">Heat Reduction</t>
  </si>
  <si>
    <t xml:space="preserve">Less heat from every process (percent of each heat tick)</t>
  </si>
  <si>
    <t xml:space="preserve">-5%</t>
  </si>
  <si>
    <t xml:space="preserve">5 % less heat</t>
  </si>
  <si>
    <t xml:space="preserve">system.heat_reduction</t>
  </si>
  <si>
    <t xml:space="preserve">0 % less heat</t>
  </si>
  <si>
    <t xml:space="preserve">v0.3</t>
  </si>
  <si>
    <t xml:space="preserve">VM Windows</t>
  </si>
  <si>
    <t xml:space="preserve">Max simultaneous VM windows</t>
  </si>
  <si>
    <t xml:space="preserve">+1</t>
  </si>
  <si>
    <t xml:space="preserve">2 VM windows</t>
  </si>
  <si>
    <t xml:space="preserve">VM tokens (any skill)</t>
  </si>
  <si>
    <t xml:space="preserve">tokens</t>
  </si>
  <si>
    <t xml:space="preserve">system.vm_windows</t>
  </si>
  <si>
    <t xml:space="preserve">1 VM windows</t>
  </si>
  <si>
    <t xml:space="preserve">v0.4</t>
  </si>
  <si>
    <t xml:space="preserve">Background Services</t>
  </si>
  <si>
    <t xml:space="preserve">Offline progression cap: +2 h per install on top of the 1 h base (24 h max)</t>
  </si>
  <si>
    <t xml:space="preserve">+2 h</t>
  </si>
  <si>
    <t xml:space="preserve">2 h added to the 1 h offline cap</t>
  </si>
  <si>
    <t xml:space="preserve">system.background_services</t>
  </si>
  <si>
    <t xml:space="preserve">0 h added to the 1 h offline cap</t>
  </si>
  <si>
    <t xml:space="preserve">v0.5</t>
  </si>
  <si>
    <t xml:space="preserve">Offline progression cap</t>
  </si>
  <si>
    <t xml:space="preserve">4 h added to the 1 h offline cap</t>
  </si>
  <si>
    <t xml:space="preserve">v0.6</t>
  </si>
  <si>
    <t xml:space="preserve">Defrag Duration</t>
  </si>
  <si>
    <t xml:space="preserve">Defrag boosts last longer</t>
  </si>
  <si>
    <t xml:space="preserve">+2.5 min</t>
  </si>
  <si>
    <t xml:space="preserve">12.5 min boost</t>
  </si>
  <si>
    <t xml:space="preserve">system.defrag_duration</t>
  </si>
  <si>
    <t xml:space="preserve">10 min boost</t>
  </si>
  <si>
    <t xml:space="preserve">v0.7</t>
  </si>
  <si>
    <t xml:space="preserve">Defrag Cooldown</t>
  </si>
  <si>
    <t xml:space="preserve">Shared defrag cooldown shorter (meets duration at max)</t>
  </si>
  <si>
    <t xml:space="preserve">-2.5 min</t>
  </si>
  <si>
    <t xml:space="preserve">37.5 min cooldown</t>
  </si>
  <si>
    <t xml:space="preserve">system.defrag_cooldown</t>
  </si>
  <si>
    <t xml:space="preserve">40 min cooldown</t>
  </si>
  <si>
    <t xml:space="preserve">v0.8</t>
  </si>
  <si>
    <t xml:space="preserve">Pointed</t>
  </si>
  <si>
    <t xml:space="preserve">VM Snapshot</t>
  </si>
  <si>
    <t xml:space="preserve">Chance a VM token isn't used up when a VM starts or renews (5% at Tier 1, +3% per tier)</t>
  </si>
  <si>
    <t xml:space="preserve">+5% / +3%</t>
  </si>
  <si>
    <t xml:space="preserve">5 % chance to keep the VM token</t>
  </si>
  <si>
    <t xml:space="preserve">system.vm_snapshot</t>
  </si>
  <si>
    <t xml:space="preserve">0 % chance to keep the VM token</t>
  </si>
  <si>
    <t xml:space="preserve">v0.9</t>
  </si>
  <si>
    <t xml:space="preserve">Scheduler</t>
  </si>
  <si>
    <t xml:space="preserve">VM tokens last longer per use</t>
  </si>
  <si>
    <t xml:space="preserve">+10% VM uptime</t>
  </si>
  <si>
    <t xml:space="preserve">10 % VM uptime</t>
  </si>
  <si>
    <t xml:space="preserve">system.scheduler</t>
  </si>
  <si>
    <t xml:space="preserve">0 % VM uptime</t>
  </si>
  <si>
    <t xml:space="preserve">v1.0</t>
  </si>
  <si>
    <t xml:space="preserve">Capstone</t>
  </si>
  <si>
    <t xml:space="preserve">MAJOR: Overheat Fan</t>
  </si>
  <si>
    <t xml:space="preserve">+0.3 C/s cooling while overheated (existing upgrade, kept)</t>
  </si>
  <si>
    <t xml:space="preserve">one-off</t>
  </si>
  <si>
    <t xml:space="preserve">Parents credit card</t>
  </si>
  <si>
    <t xml:space="preserve">system.overheat_fan</t>
  </si>
  <si>
    <t xml:space="preserve">not installed</t>
  </si>
  <si>
    <t xml:space="preserve">Lawfirm</t>
  </si>
  <si>
    <t xml:space="preserve">v1.1</t>
  </si>
  <si>
    <t xml:space="preserve">+0.35 C/s</t>
  </si>
  <si>
    <t xml:space="preserve">0.85 C/s cooling</t>
  </si>
  <si>
    <t xml:space="preserve">Archives</t>
  </si>
  <si>
    <t xml:space="preserve">v1.2</t>
  </si>
  <si>
    <t xml:space="preserve">10 % less heat</t>
  </si>
  <si>
    <t xml:space="preserve">v1.3</t>
  </si>
  <si>
    <t xml:space="preserve">3 VM windows</t>
  </si>
  <si>
    <t xml:space="preserve">v1.4</t>
  </si>
  <si>
    <t xml:space="preserve">6 h added to the 1 h offline cap</t>
  </si>
  <si>
    <t xml:space="preserve">v1.5</t>
  </si>
  <si>
    <t xml:space="preserve">8 h added to the 1 h offline cap</t>
  </si>
  <si>
    <t xml:space="preserve">v1.6</t>
  </si>
  <si>
    <t xml:space="preserve">15 min boost</t>
  </si>
  <si>
    <t xml:space="preserve">v1.7</t>
  </si>
  <si>
    <t xml:space="preserve">35 min cooldown</t>
  </si>
  <si>
    <t xml:space="preserve">v1.8</t>
  </si>
  <si>
    <t xml:space="preserve">8 % chance to keep the VM token</t>
  </si>
  <si>
    <t xml:space="preserve">v1.9</t>
  </si>
  <si>
    <t xml:space="preserve">20 % VM uptime</t>
  </si>
  <si>
    <t xml:space="preserve">v2.0</t>
  </si>
  <si>
    <t xml:space="preserve">MAJOR: Idle Cooling</t>
  </si>
  <si>
    <t xml:space="preserve">Cooling x2 while no process is running</t>
  </si>
  <si>
    <t xml:space="preserve">Leaked deposition transcripts</t>
  </si>
  <si>
    <t xml:space="preserve">system.idle_cooling</t>
  </si>
  <si>
    <t xml:space="preserve">Hospital</t>
  </si>
  <si>
    <t xml:space="preserve">v2.1</t>
  </si>
  <si>
    <t xml:space="preserve">+0.55 C/s</t>
  </si>
  <si>
    <t xml:space="preserve">1.4 C/s cooling</t>
  </si>
  <si>
    <t xml:space="preserve">Metadata</t>
  </si>
  <si>
    <t xml:space="preserve">v2.2</t>
  </si>
  <si>
    <t xml:space="preserve">15 % less heat</t>
  </si>
  <si>
    <t xml:space="preserve">v2.3</t>
  </si>
  <si>
    <t xml:space="preserve">4 VM windows</t>
  </si>
  <si>
    <t xml:space="preserve">v2.4</t>
  </si>
  <si>
    <t xml:space="preserve">10 h added to the 1 h offline cap</t>
  </si>
  <si>
    <t xml:space="preserve">v2.5</t>
  </si>
  <si>
    <t xml:space="preserve">12 h added to the 1 h offline cap</t>
  </si>
  <si>
    <t xml:space="preserve">v2.6</t>
  </si>
  <si>
    <t xml:space="preserve">17.5 min boost</t>
  </si>
  <si>
    <t xml:space="preserve">v2.7</t>
  </si>
  <si>
    <t xml:space="preserve">32.5 min cooldown</t>
  </si>
  <si>
    <t xml:space="preserve">v2.8</t>
  </si>
  <si>
    <t xml:space="preserve">11 % chance to keep the VM token</t>
  </si>
  <si>
    <t xml:space="preserve">v2.9</t>
  </si>
  <si>
    <t xml:space="preserve">30 % VM uptime</t>
  </si>
  <si>
    <t xml:space="preserve">v3.0</t>
  </si>
  <si>
    <t xml:space="preserve">MAJOR: Liquid Cooling</t>
  </si>
  <si>
    <t xml:space="preserve">Overheat recovery twice as fast</t>
  </si>
  <si>
    <t xml:space="preserve">Patient appointment history</t>
  </si>
  <si>
    <t xml:space="preserve">system.liquid_cooling</t>
  </si>
  <si>
    <t xml:space="preserve">Bank</t>
  </si>
  <si>
    <t xml:space="preserve">v3.1</t>
  </si>
  <si>
    <t xml:space="preserve">+0.7 C/s</t>
  </si>
  <si>
    <t xml:space="preserve">2.1 C/s cooling</t>
  </si>
  <si>
    <t xml:space="preserve">Cookies</t>
  </si>
  <si>
    <t xml:space="preserve">v3.2</t>
  </si>
  <si>
    <t xml:space="preserve">20 % less heat</t>
  </si>
  <si>
    <t xml:space="preserve">v3.3</t>
  </si>
  <si>
    <t xml:space="preserve">5 VM windows</t>
  </si>
  <si>
    <t xml:space="preserve">v3.4</t>
  </si>
  <si>
    <t xml:space="preserve">14 h added to the 1 h offline cap</t>
  </si>
  <si>
    <t xml:space="preserve">v3.5</t>
  </si>
  <si>
    <t xml:space="preserve">16 h added to the 1 h offline cap</t>
  </si>
  <si>
    <t xml:space="preserve">v3.6</t>
  </si>
  <si>
    <t xml:space="preserve">20 min boost</t>
  </si>
  <si>
    <t xml:space="preserve">v3.7</t>
  </si>
  <si>
    <t xml:space="preserve">30 min cooldown</t>
  </si>
  <si>
    <t xml:space="preserve">v3.8</t>
  </si>
  <si>
    <t xml:space="preserve">14 % chance to keep the VM token</t>
  </si>
  <si>
    <t xml:space="preserve">v3.9</t>
  </si>
  <si>
    <t xml:space="preserve">40 % VM uptime</t>
  </si>
  <si>
    <t xml:space="preserve">v4.0</t>
  </si>
  <si>
    <t xml:space="preserve">MAJOR: Load Balancer</t>
  </si>
  <si>
    <t xml:space="preserve">VM processes produce half heat</t>
  </si>
  <si>
    <t xml:space="preserve">Cash Drawer Override Codes</t>
  </si>
  <si>
    <t xml:space="preserve">system.load_balancer</t>
  </si>
  <si>
    <t xml:space="preserve">Police</t>
  </si>
  <si>
    <t xml:space="preserve">v4.1</t>
  </si>
  <si>
    <t xml:space="preserve">+1.05 C/s</t>
  </si>
  <si>
    <t xml:space="preserve">3.15 C/s cooling</t>
  </si>
  <si>
    <t xml:space="preserve">Repositories</t>
  </si>
  <si>
    <t xml:space="preserve">v4.2</t>
  </si>
  <si>
    <t xml:space="preserve">25 % less heat</t>
  </si>
  <si>
    <t xml:space="preserve">v4.3</t>
  </si>
  <si>
    <t xml:space="preserve">6 VM windows</t>
  </si>
  <si>
    <t xml:space="preserve">v4.4</t>
  </si>
  <si>
    <t xml:space="preserve">18 h added to the 1 h offline cap</t>
  </si>
  <si>
    <t xml:space="preserve">v4.5</t>
  </si>
  <si>
    <t xml:space="preserve">20 h added to the 1 h offline cap</t>
  </si>
  <si>
    <t xml:space="preserve">v4.6</t>
  </si>
  <si>
    <t xml:space="preserve">22.5 min boost</t>
  </si>
  <si>
    <t xml:space="preserve">v4.7</t>
  </si>
  <si>
    <t xml:space="preserve">27.5 min cooldown</t>
  </si>
  <si>
    <t xml:space="preserve">v4.8</t>
  </si>
  <si>
    <t xml:space="preserve">17 % chance to keep the VM token</t>
  </si>
  <si>
    <t xml:space="preserve">v4.9</t>
  </si>
  <si>
    <t xml:space="preserve">50 % VM uptime</t>
  </si>
  <si>
    <t xml:space="preserve">v5.0</t>
  </si>
  <si>
    <t xml:space="preserve">MAJOR: Watchdog</t>
  </si>
  <si>
    <t xml:space="preserve">Overclock switches off by itself at 90 C so it can't push you into overheat</t>
  </si>
  <si>
    <t xml:space="preserve">Internal affairs complaint archive</t>
  </si>
  <si>
    <t xml:space="preserve">system.watchdog</t>
  </si>
  <si>
    <t xml:space="preserve">Government</t>
  </si>
  <si>
    <t xml:space="preserve">v5.1</t>
  </si>
  <si>
    <t xml:space="preserve">+1.55 C/s</t>
  </si>
  <si>
    <t xml:space="preserve">4.7 C/s cooling</t>
  </si>
  <si>
    <t xml:space="preserve">Databases</t>
  </si>
  <si>
    <t xml:space="preserve">v5.2</t>
  </si>
  <si>
    <t xml:space="preserve">30 % less heat</t>
  </si>
  <si>
    <t xml:space="preserve">v5.3</t>
  </si>
  <si>
    <t xml:space="preserve">7 VM windows</t>
  </si>
  <si>
    <t xml:space="preserve">v5.4</t>
  </si>
  <si>
    <t xml:space="preserve">22 h added to the 1 h offline cap</t>
  </si>
  <si>
    <t xml:space="preserve">v5.5</t>
  </si>
  <si>
    <t xml:space="preserve">24 h added to the 1 h offline cap</t>
  </si>
  <si>
    <t xml:space="preserve">v5.6</t>
  </si>
  <si>
    <t xml:space="preserve">25 min boost</t>
  </si>
  <si>
    <t xml:space="preserve">v5.7</t>
  </si>
  <si>
    <t xml:space="preserve">25 min cooldown</t>
  </si>
  <si>
    <t xml:space="preserve">v5.8</t>
  </si>
  <si>
    <t xml:space="preserve">20 % chance to keep the VM token</t>
  </si>
  <si>
    <t xml:space="preserve">v5.9</t>
  </si>
  <si>
    <t xml:space="preserve">60 % VM uptime</t>
  </si>
  <si>
    <t xml:space="preserve">v6.0</t>
  </si>
  <si>
    <t xml:space="preserve">MAJOR: Server Rack</t>
  </si>
  <si>
    <t xml:space="preserve">VMs produce no heat</t>
  </si>
  <si>
    <t xml:space="preserve">Registered Voters Database</t>
  </si>
  <si>
    <t xml:space="preserve">system.server_rack</t>
  </si>
  <si>
    <t xml:space="preserve">Mining</t>
  </si>
  <si>
    <t xml:space="preserve">Speed</t>
  </si>
  <si>
    <t xml:space="preserve">Mining cycle speed (each install ~14.5% faster than before it)</t>
  </si>
  <si>
    <t xml:space="preserve">+16.7%</t>
  </si>
  <si>
    <t xml:space="preserve">1.17 x speed</t>
  </si>
  <si>
    <t xml:space="preserve">mining.speed</t>
  </si>
  <si>
    <t xml:space="preserve">1 x speed</t>
  </si>
  <si>
    <t xml:space="preserve">Mining cycle speed</t>
  </si>
  <si>
    <t xml:space="preserve">1.33 x speed</t>
  </si>
  <si>
    <t xml:space="preserve">1.5 x speed</t>
  </si>
  <si>
    <t xml:space="preserve">Efficiency</t>
  </si>
  <si>
    <t xml:space="preserve">Extra resources per cycle (on top of level efficiency); +100% at max</t>
  </si>
  <si>
    <t xml:space="preserve">+8.33%</t>
  </si>
  <si>
    <t xml:space="preserve">8.33 % bonus efficiency</t>
  </si>
  <si>
    <t xml:space="preserve">mining.efficiency</t>
  </si>
  <si>
    <t xml:space="preserve">0 % bonus efficiency</t>
  </si>
  <si>
    <t xml:space="preserve">Extra resources per cycle</t>
  </si>
  <si>
    <t xml:space="preserve">16.67 % bonus efficiency</t>
  </si>
  <si>
    <t xml:space="preserve">Heat Sink</t>
  </si>
  <si>
    <t xml:space="preserve">Less heat from Mining (replaces Yield, which outweighed efficiency)</t>
  </si>
  <si>
    <t xml:space="preserve">-2%</t>
  </si>
  <si>
    <t xml:space="preserve">2 % less Mining heat</t>
  </si>
  <si>
    <t xml:space="preserve">mining.heat_sink</t>
  </si>
  <si>
    <t xml:space="preserve">0 % less Mining heat</t>
  </si>
  <si>
    <t xml:space="preserve">Less heat from Mining</t>
  </si>
  <si>
    <t xml:space="preserve">4 % less Mining heat</t>
  </si>
  <si>
    <t xml:space="preserve">Vein Detection</t>
  </si>
  <si>
    <t xml:space="preserve">Every Nth cycle yields double; N shrinks each tier</t>
  </si>
  <si>
    <t xml:space="preserve">every 10th -&gt; 5th</t>
  </si>
  <si>
    <t xml:space="preserve">double every 10th cycle</t>
  </si>
  <si>
    <t xml:space="preserve">mining.vein_detection</t>
  </si>
  <si>
    <t xml:space="preserve">off</t>
  </si>
  <si>
    <t xml:space="preserve">Pipelining</t>
  </si>
  <si>
    <t xml:space="preserve">A finished cycle starts the next one partly filled</t>
  </si>
  <si>
    <t xml:space="preserve">+10% head start</t>
  </si>
  <si>
    <t xml:space="preserve">10 % head start</t>
  </si>
  <si>
    <t xml:space="preserve">mining.pipelining</t>
  </si>
  <si>
    <t xml:space="preserve">0 % head start</t>
  </si>
  <si>
    <t xml:space="preserve">MAJOR: Overclock</t>
  </si>
  <si>
    <t xml:space="preserve">MODIFIER 'overclock': faster, more heat (existing; tutorial step depends on it, so keep it cheap)</t>
  </si>
  <si>
    <t xml:space="preserve">Falsified transcript database</t>
  </si>
  <si>
    <t xml:space="preserve">mining.overclock</t>
  </si>
  <si>
    <t xml:space="preserve">+25.0%</t>
  </si>
  <si>
    <t xml:space="preserve">1.75 x speed</t>
  </si>
  <si>
    <t xml:space="preserve">2.0 x speed</t>
  </si>
  <si>
    <t xml:space="preserve">2.25 x speed</t>
  </si>
  <si>
    <t xml:space="preserve">25 % bonus efficiency</t>
  </si>
  <si>
    <t xml:space="preserve">33.33 % bonus efficiency</t>
  </si>
  <si>
    <t xml:space="preserve">6 % less Mining heat</t>
  </si>
  <si>
    <t xml:space="preserve">8 % less Mining heat</t>
  </si>
  <si>
    <t xml:space="preserve">double every 9th cycle</t>
  </si>
  <si>
    <t xml:space="preserve">20 % head start</t>
  </si>
  <si>
    <t xml:space="preserve">MAJOR: Deep Core</t>
  </si>
  <si>
    <t xml:space="preserve">Passive: VM Mining token chance x2</t>
  </si>
  <si>
    <t xml:space="preserve">Forged court document templates</t>
  </si>
  <si>
    <t xml:space="preserve">mining.deep_core</t>
  </si>
  <si>
    <t xml:space="preserve">+37.5%</t>
  </si>
  <si>
    <t xml:space="preserve">2.63 x speed</t>
  </si>
  <si>
    <t xml:space="preserve">3.0 x speed</t>
  </si>
  <si>
    <t xml:space="preserve">3.38 x speed</t>
  </si>
  <si>
    <t xml:space="preserve">41.67 % bonus efficiency</t>
  </si>
  <si>
    <t xml:space="preserve">50 % bonus efficiency</t>
  </si>
  <si>
    <t xml:space="preserve">10 % less Mining heat</t>
  </si>
  <si>
    <t xml:space="preserve">12 % less Mining heat</t>
  </si>
  <si>
    <t xml:space="preserve">double every 8th cycle</t>
  </si>
  <si>
    <t xml:space="preserve">30 % head start</t>
  </si>
  <si>
    <t xml:space="preserve">MAJOR: Sift</t>
  </si>
  <si>
    <t xml:space="preserve">MODIFIER 'sift': -50% speed, heat x1.5; each cycle 15% chance to also find one of the tier's Parsing items</t>
  </si>
  <si>
    <t xml:space="preserve">Staff keycard clone data</t>
  </si>
  <si>
    <t xml:space="preserve">mining.sift</t>
  </si>
  <si>
    <t xml:space="preserve">+56.2%</t>
  </si>
  <si>
    <t xml:space="preserve">3.94 x speed</t>
  </si>
  <si>
    <t xml:space="preserve">4.5 x speed</t>
  </si>
  <si>
    <t xml:space="preserve">5.06 x speed</t>
  </si>
  <si>
    <t xml:space="preserve">58.33 % bonus efficiency</t>
  </si>
  <si>
    <t xml:space="preserve">66.67 % bonus efficiency</t>
  </si>
  <si>
    <t xml:space="preserve">14 % less Mining heat</t>
  </si>
  <si>
    <t xml:space="preserve">16 % less Mining heat</t>
  </si>
  <si>
    <t xml:space="preserve">double every 7th cycle</t>
  </si>
  <si>
    <t xml:space="preserve">40 % head start</t>
  </si>
  <si>
    <t xml:space="preserve">MAJOR: Prospect</t>
  </si>
  <si>
    <t xml:space="preserve">MODIFIER 'prospect': -40% speed; efficiency x2, VM token chance x2, heat x2</t>
  </si>
  <si>
    <t xml:space="preserve">Credit Records</t>
  </si>
  <si>
    <t xml:space="preserve">mining.prospect</t>
  </si>
  <si>
    <t xml:space="preserve">+84.4%</t>
  </si>
  <si>
    <t xml:space="preserve">5.91 x speed</t>
  </si>
  <si>
    <t xml:space="preserve">6.75 x speed</t>
  </si>
  <si>
    <t xml:space="preserve">7.59 x speed</t>
  </si>
  <si>
    <t xml:space="preserve">75 % bonus efficiency</t>
  </si>
  <si>
    <t xml:space="preserve">83.33 % bonus efficiency</t>
  </si>
  <si>
    <t xml:space="preserve">18 % less Mining heat</t>
  </si>
  <si>
    <t xml:space="preserve">20 % less Mining heat</t>
  </si>
  <si>
    <t xml:space="preserve">double every 6th cycle</t>
  </si>
  <si>
    <t xml:space="preserve">50 % head start</t>
  </si>
  <si>
    <t xml:space="preserve">MAJOR: Survey</t>
  </si>
  <si>
    <t xml:space="preserve">MODIFIER 'survey': half resources, +100% Mining XP (for grinding levels)</t>
  </si>
  <si>
    <t xml:space="preserve">Body cam footage deletion logs</t>
  </si>
  <si>
    <t xml:space="preserve">mining.survey</t>
  </si>
  <si>
    <t xml:space="preserve">+126.6%</t>
  </si>
  <si>
    <t xml:space="preserve">8.86 x speed</t>
  </si>
  <si>
    <t xml:space="preserve">10.13 x speed</t>
  </si>
  <si>
    <t xml:space="preserve">11.39 x speed</t>
  </si>
  <si>
    <t xml:space="preserve">91.67 % bonus efficiency</t>
  </si>
  <si>
    <t xml:space="preserve">100 % bonus efficiency</t>
  </si>
  <si>
    <t xml:space="preserve">22 % less Mining heat</t>
  </si>
  <si>
    <t xml:space="preserve">24 % less Mining heat</t>
  </si>
  <si>
    <t xml:space="preserve">double every 5th cycle</t>
  </si>
  <si>
    <t xml:space="preserve">60 % head start</t>
  </si>
  <si>
    <t xml:space="preserve">MAJOR: Cool Bits</t>
  </si>
  <si>
    <t xml:space="preserve">Passive: Overclock, Sift and Prospect produce no extra heat</t>
  </si>
  <si>
    <t xml:space="preserve">CIA Brief</t>
  </si>
  <si>
    <t xml:space="preserve">mining.cool_bits</t>
  </si>
  <si>
    <t xml:space="preserve">Parsing</t>
  </si>
  <si>
    <t xml:space="preserve">Parsing cycle speed (each install ~14.5% faster than before it)</t>
  </si>
  <si>
    <t xml:space="preserve">IP address + Encrypted passwords + Usernames (each)</t>
  </si>
  <si>
    <t xml:space="preserve">parsing</t>
  </si>
  <si>
    <t xml:space="preserve">parsing.speed</t>
  </si>
  <si>
    <t xml:space="preserve">Parsing cycle speed</t>
  </si>
  <si>
    <t xml:space="preserve">Chance to find a resource per row (on top of level efficiency); 20% at max</t>
  </si>
  <si>
    <t xml:space="preserve">+1.67%</t>
  </si>
  <si>
    <t xml:space="preserve">1.67 % bonus find chance</t>
  </si>
  <si>
    <t xml:space="preserve">parsing.efficiency</t>
  </si>
  <si>
    <t xml:space="preserve">0 % bonus find chance</t>
  </si>
  <si>
    <t xml:space="preserve">Chance to find a resource per row</t>
  </si>
  <si>
    <t xml:space="preserve">3.33 % bonus find chance</t>
  </si>
  <si>
    <t xml:space="preserve">Rows</t>
  </si>
  <si>
    <t xml:space="preserve">Rows scanned per pass</t>
  </si>
  <si>
    <t xml:space="preserve">1 extra rows per pass</t>
  </si>
  <si>
    <t xml:space="preserve">parsing.rows</t>
  </si>
  <si>
    <t xml:space="preserve">0 extra rows per pass</t>
  </si>
  <si>
    <t xml:space="preserve">2 extra rows per pass</t>
  </si>
  <si>
    <t xml:space="preserve">Pattern Cache</t>
  </si>
  <si>
    <t xml:space="preserve">Each empty row raises the next row's find chance until a hit (bad-luck protection)</t>
  </si>
  <si>
    <t xml:space="preserve">+1% per miss</t>
  </si>
  <si>
    <t xml:space="preserve">1 % added per empty row</t>
  </si>
  <si>
    <t xml:space="preserve">parsing.pattern_cache</t>
  </si>
  <si>
    <t xml:space="preserve">0 % added per empty row</t>
  </si>
  <si>
    <t xml:space="preserve">Fast Skip</t>
  </si>
  <si>
    <t xml:space="preserve">Empty rows are processed faster (works on every Parsing process from Tier 1)</t>
  </si>
  <si>
    <t xml:space="preserve">+10%</t>
  </si>
  <si>
    <t xml:space="preserve">10 % faster empty rows</t>
  </si>
  <si>
    <t xml:space="preserve">parsing.fast_skip</t>
  </si>
  <si>
    <t xml:space="preserve">0 % faster empty rows</t>
  </si>
  <si>
    <t xml:space="preserve">MODIFIER 'overclock': faster, more heat (existing)</t>
  </si>
  <si>
    <t xml:space="preserve">Student disciplinary records</t>
  </si>
  <si>
    <t xml:space="preserve">parsing.overclock</t>
  </si>
  <si>
    <t xml:space="preserve">Email Header + Encrypted Signature + Case Number (each)</t>
  </si>
  <si>
    <t xml:space="preserve">5 % bonus find chance</t>
  </si>
  <si>
    <t xml:space="preserve">6.67 % bonus find chance</t>
  </si>
  <si>
    <t xml:space="preserve">3 extra rows per pass</t>
  </si>
  <si>
    <t xml:space="preserve">4 extra rows per pass</t>
  </si>
  <si>
    <t xml:space="preserve">2 % added per empty row</t>
  </si>
  <si>
    <t xml:space="preserve">20 % faster empty rows</t>
  </si>
  <si>
    <t xml:space="preserve">MAJOR: Token Sniffer</t>
  </si>
  <si>
    <t xml:space="preserve">Passive: VM Parsing token chance x2</t>
  </si>
  <si>
    <t xml:space="preserve">Sealed case files</t>
  </si>
  <si>
    <t xml:space="preserve">parsing.token_sniffer</t>
  </si>
  <si>
    <t xml:space="preserve">Mac Address + Encrypted Badge Hash + Staff IDs (each)</t>
  </si>
  <si>
    <t xml:space="preserve">8.33 % bonus find chance</t>
  </si>
  <si>
    <t xml:space="preserve">10 % bonus find chance</t>
  </si>
  <si>
    <t xml:space="preserve">5 extra rows per pass</t>
  </si>
  <si>
    <t xml:space="preserve">6 extra rows per pass</t>
  </si>
  <si>
    <t xml:space="preserve">3 % added per empty row</t>
  </si>
  <si>
    <t xml:space="preserve">30 % faster empty rows</t>
  </si>
  <si>
    <t xml:space="preserve">MAJOR: Plaintext</t>
  </si>
  <si>
    <t xml:space="preserve">MODIFIER 'plaintext': -50% speed, heat x1.5; each find 10% chance to come out already cracked (skips Cracking)</t>
  </si>
  <si>
    <t xml:space="preserve">Prescription pad credentials</t>
  </si>
  <si>
    <t xml:space="preserve">parsing.plaintext</t>
  </si>
  <si>
    <t xml:space="preserve">Routing Number + Encrypted PINS + Account Numbers (each)</t>
  </si>
  <si>
    <t xml:space="preserve">11.67 % bonus find chance</t>
  </si>
  <si>
    <t xml:space="preserve">13.33 % bonus find chance</t>
  </si>
  <si>
    <t xml:space="preserve">7 extra rows per pass</t>
  </si>
  <si>
    <t xml:space="preserve">8 extra rows per pass</t>
  </si>
  <si>
    <t xml:space="preserve">4 % added per empty row</t>
  </si>
  <si>
    <t xml:space="preserve">40 % faster empty rows</t>
  </si>
  <si>
    <t xml:space="preserve">MAJOR: Deep Read</t>
  </si>
  <si>
    <t xml:space="preserve">MODIFIER 'deep-read': -40% speed; row find chance x2 (not Network finds), VM token chance x2, heat x2</t>
  </si>
  <si>
    <t xml:space="preserve">Safe Deposit Box Registry</t>
  </si>
  <si>
    <t xml:space="preserve">parsing.deep_read</t>
  </si>
  <si>
    <t xml:space="preserve">Subnet Map + Encrypted SSH Key + Badge Number (each)</t>
  </si>
  <si>
    <t xml:space="preserve">15 % bonus find chance</t>
  </si>
  <si>
    <t xml:space="preserve">16.67 % bonus find chance</t>
  </si>
  <si>
    <t xml:space="preserve">9 extra rows per pass</t>
  </si>
  <si>
    <t xml:space="preserve">10 extra rows per pass</t>
  </si>
  <si>
    <t xml:space="preserve">5 % added per empty row</t>
  </si>
  <si>
    <t xml:space="preserve">50 % faster empty rows</t>
  </si>
  <si>
    <t xml:space="preserve">MODIFIER 'survey': half resources, +100% Parsing XP (same command name in every skill)</t>
  </si>
  <si>
    <t xml:space="preserve">Confidential informant registry</t>
  </si>
  <si>
    <t xml:space="preserve">parsing.survey</t>
  </si>
  <si>
    <t xml:space="preserve">Gateway Address + Encrypted Bio Hash + Clearance ID (each)</t>
  </si>
  <si>
    <t xml:space="preserve">18.33 % bonus find chance</t>
  </si>
  <si>
    <t xml:space="preserve">20 % bonus find chance</t>
  </si>
  <si>
    <t xml:space="preserve">11 extra rows per pass</t>
  </si>
  <si>
    <t xml:space="preserve">12 extra rows per pass</t>
  </si>
  <si>
    <t xml:space="preserve">6 % added per empty row</t>
  </si>
  <si>
    <t xml:space="preserve">60 % faster empty rows</t>
  </si>
  <si>
    <t xml:space="preserve">MAJOR: Cold Cache</t>
  </si>
  <si>
    <t xml:space="preserve">Passive: Overclock, Plaintext and Deep Read produce no extra heat</t>
  </si>
  <si>
    <t xml:space="preserve">Black Budget Ledger</t>
  </si>
  <si>
    <t xml:space="preserve">parsing.cold_cache</t>
  </si>
  <si>
    <t xml:space="preserve">Cracking</t>
  </si>
  <si>
    <t xml:space="preserve">Cracking cycle speed (each install ~14.5% faster than before it)</t>
  </si>
  <si>
    <t xml:space="preserve">Passwords</t>
  </si>
  <si>
    <t xml:space="preserve">cracking</t>
  </si>
  <si>
    <t xml:space="preserve">cracking.speed</t>
  </si>
  <si>
    <t xml:space="preserve">Cracking cycle speed</t>
  </si>
  <si>
    <t xml:space="preserve">Instant-crack chance (on top of level efficiency); 20% at max</t>
  </si>
  <si>
    <t xml:space="preserve">1.67 % bonus instant-crack</t>
  </si>
  <si>
    <t xml:space="preserve">cracking.efficiency</t>
  </si>
  <si>
    <t xml:space="preserve">0 % bonus instant-crack</t>
  </si>
  <si>
    <t xml:space="preserve">Instant-crack chance</t>
  </si>
  <si>
    <t xml:space="preserve">3.33 % bonus instant-crack</t>
  </si>
  <si>
    <t xml:space="preserve">Recovery</t>
  </si>
  <si>
    <t xml:space="preserve">Chance the encrypted input is not consumed (capped stand-in for Yield on converting skills); 20% at max</t>
  </si>
  <si>
    <t xml:space="preserve">1.67 % input kept</t>
  </si>
  <si>
    <t xml:space="preserve">cracking.recovery</t>
  </si>
  <si>
    <t xml:space="preserve">0 % input kept</t>
  </si>
  <si>
    <t xml:space="preserve">Chance the encrypted input is not consumed</t>
  </si>
  <si>
    <t xml:space="preserve">3.33 % input kept</t>
  </si>
  <si>
    <t xml:space="preserve">Dictionary</t>
  </si>
  <si>
    <t xml:space="preserve">Each box has a chance to start already solved</t>
  </si>
  <si>
    <t xml:space="preserve">+8%</t>
  </si>
  <si>
    <t xml:space="preserve">8 % box pre-solved</t>
  </si>
  <si>
    <t xml:space="preserve">cracking.dictionary</t>
  </si>
  <si>
    <t xml:space="preserve">0 % box pre-solved</t>
  </si>
  <si>
    <t xml:space="preserve">Rainbow Tables</t>
  </si>
  <si>
    <t xml:space="preserve">An instant crack gives the next cycle a head start</t>
  </si>
  <si>
    <t xml:space="preserve">10 % head start after instant crack</t>
  </si>
  <si>
    <t xml:space="preserve">cracking.rainbow_tables</t>
  </si>
  <si>
    <t xml:space="preserve">0 % head start after instant crack</t>
  </si>
  <si>
    <t xml:space="preserve">School budget embezzlement logs</t>
  </si>
  <si>
    <t xml:space="preserve">cracking.overclock</t>
  </si>
  <si>
    <t xml:space="preserve">Digital Signature</t>
  </si>
  <si>
    <t xml:space="preserve">5 % bonus instant-crack</t>
  </si>
  <si>
    <t xml:space="preserve">6.67 % bonus instant-crack</t>
  </si>
  <si>
    <t xml:space="preserve">5 % input kept</t>
  </si>
  <si>
    <t xml:space="preserve">6.67 % input kept</t>
  </si>
  <si>
    <t xml:space="preserve">16 % box pre-solved</t>
  </si>
  <si>
    <t xml:space="preserve">20 % head start after instant crack</t>
  </si>
  <si>
    <t xml:space="preserve">MAJOR: Keyring</t>
  </si>
  <si>
    <t xml:space="preserve">Passive: VM Cracking token chance x2</t>
  </si>
  <si>
    <t xml:space="preserve">Offshore account records</t>
  </si>
  <si>
    <t xml:space="preserve">cracking.keyring</t>
  </si>
  <si>
    <t xml:space="preserve">Badge Hash</t>
  </si>
  <si>
    <t xml:space="preserve">8.33 % bonus instant-crack</t>
  </si>
  <si>
    <t xml:space="preserve">10 % bonus instant-crack</t>
  </si>
  <si>
    <t xml:space="preserve">8.33 % input kept</t>
  </si>
  <si>
    <t xml:space="preserve">10 % input kept</t>
  </si>
  <si>
    <t xml:space="preserve">24 % box pre-solved</t>
  </si>
  <si>
    <t xml:space="preserve">30 % head start after instant crack</t>
  </si>
  <si>
    <t xml:space="preserve">MAJOR: Cross-Reference</t>
  </si>
  <si>
    <t xml:space="preserve">MODIFIER 'crossref': -50% speed, heat x1.5; each crack 10% chance to also produce the tier's matched item (skips Matching)</t>
  </si>
  <si>
    <t xml:space="preserve">Patient insurance data</t>
  </si>
  <si>
    <t xml:space="preserve">cracking.cross_reference</t>
  </si>
  <si>
    <t xml:space="preserve">PINS</t>
  </si>
  <si>
    <t xml:space="preserve">11.67 % bonus instant-crack</t>
  </si>
  <si>
    <t xml:space="preserve">13.33 % bonus instant-crack</t>
  </si>
  <si>
    <t xml:space="preserve">11.67 % input kept</t>
  </si>
  <si>
    <t xml:space="preserve">13.33 % input kept</t>
  </si>
  <si>
    <t xml:space="preserve">32 % box pre-solved</t>
  </si>
  <si>
    <t xml:space="preserve">40 % head start after instant crack</t>
  </si>
  <si>
    <t xml:space="preserve">MAJOR: Analyze</t>
  </si>
  <si>
    <t xml:space="preserve">MODIFIER 'analyze': -40% speed; instant-crack chance x2, VM token chance x2, heat x2</t>
  </si>
  <si>
    <t xml:space="preserve">Vault Override</t>
  </si>
  <si>
    <t xml:space="preserve">cracking.analyze</t>
  </si>
  <si>
    <t xml:space="preserve">Private Keys</t>
  </si>
  <si>
    <t xml:space="preserve">15 % bonus instant-crack</t>
  </si>
  <si>
    <t xml:space="preserve">16.67 % bonus instant-crack</t>
  </si>
  <si>
    <t xml:space="preserve">15 % input kept</t>
  </si>
  <si>
    <t xml:space="preserve">16.67 % input kept</t>
  </si>
  <si>
    <t xml:space="preserve">40 % box pre-solved</t>
  </si>
  <si>
    <t xml:space="preserve">50 % head start after instant crack</t>
  </si>
  <si>
    <t xml:space="preserve">MODIFIER 'survey': half output, +100% Cracking XP</t>
  </si>
  <si>
    <t xml:space="preserve">Evidence locker access codes</t>
  </si>
  <si>
    <t xml:space="preserve">cracking.survey</t>
  </si>
  <si>
    <t xml:space="preserve">Bio Template</t>
  </si>
  <si>
    <t xml:space="preserve">18.33 % bonus instant-crack</t>
  </si>
  <si>
    <t xml:space="preserve">20 % bonus instant-crack</t>
  </si>
  <si>
    <t xml:space="preserve">18.33 % input kept</t>
  </si>
  <si>
    <t xml:space="preserve">20 % input kept</t>
  </si>
  <si>
    <t xml:space="preserve">48 % box pre-solved</t>
  </si>
  <si>
    <t xml:space="preserve">60 % head start after instant crack</t>
  </si>
  <si>
    <t xml:space="preserve">MAJOR: Cryo Rig</t>
  </si>
  <si>
    <t xml:space="preserve">Passive: Overclock, Cross-Reference and Analyze produce no extra heat</t>
  </si>
  <si>
    <t xml:space="preserve">Deep Cover IDs</t>
  </si>
  <si>
    <t xml:space="preserve">cracking.cryo_rig</t>
  </si>
  <si>
    <t xml:space="preserve">Matching</t>
  </si>
  <si>
    <t xml:space="preserve">Matching cycle speed (each install ~14.5% faster than before it)</t>
  </si>
  <si>
    <t xml:space="preserve">Credentials</t>
  </si>
  <si>
    <t xml:space="preserve">matching</t>
  </si>
  <si>
    <t xml:space="preserve">matching.speed</t>
  </si>
  <si>
    <t xml:space="preserve">Matching cycle speed</t>
  </si>
  <si>
    <t xml:space="preserve">Chance to assemble multiples (on top of level efficiency); 20% at max</t>
  </si>
  <si>
    <t xml:space="preserve">1.67 % bonus efficiency</t>
  </si>
  <si>
    <t xml:space="preserve">matching.efficiency</t>
  </si>
  <si>
    <t xml:space="preserve">Chance to assemble multiples</t>
  </si>
  <si>
    <t xml:space="preserve">3.33 % bonus efficiency</t>
  </si>
  <si>
    <t xml:space="preserve">Chance the inputs are not consumed; 20% at max</t>
  </si>
  <si>
    <t xml:space="preserve">1.67 % inputs kept</t>
  </si>
  <si>
    <t xml:space="preserve">matching.recovery</t>
  </si>
  <si>
    <t xml:space="preserve">0 % inputs kept</t>
  </si>
  <si>
    <t xml:space="preserve">Chance the inputs are not consumed</t>
  </si>
  <si>
    <t xml:space="preserve">3.33 % inputs kept</t>
  </si>
  <si>
    <t xml:space="preserve">Auto-Correlate</t>
  </si>
  <si>
    <t xml:space="preserve">Each match starts with a head start</t>
  </si>
  <si>
    <t xml:space="preserve">matching.auto_correlate</t>
  </si>
  <si>
    <t xml:space="preserve">Hot Cache</t>
  </si>
  <si>
    <t xml:space="preserve">+1% speed per consecutive match up to the cap (cap +5% per tier); resets when stopped</t>
  </si>
  <si>
    <t xml:space="preserve">+5% cap</t>
  </si>
  <si>
    <t xml:space="preserve">5 % max momentum speed</t>
  </si>
  <si>
    <t xml:space="preserve">matching.hot_cache</t>
  </si>
  <si>
    <t xml:space="preserve">0 % max momentum speed</t>
  </si>
  <si>
    <t xml:space="preserve">District wide master password</t>
  </si>
  <si>
    <t xml:space="preserve">matching.overclock</t>
  </si>
  <si>
    <t xml:space="preserve">Signed Certificate</t>
  </si>
  <si>
    <t xml:space="preserve">5 % bonus efficiency</t>
  </si>
  <si>
    <t xml:space="preserve">6.67 % bonus efficiency</t>
  </si>
  <si>
    <t xml:space="preserve">5 % inputs kept</t>
  </si>
  <si>
    <t xml:space="preserve">6.67 % inputs kept</t>
  </si>
  <si>
    <t xml:space="preserve">10 % max momentum speed</t>
  </si>
  <si>
    <t xml:space="preserve">MAJOR: Rolodex</t>
  </si>
  <si>
    <t xml:space="preserve">Passive: VM Matching token chance x2</t>
  </si>
  <si>
    <t xml:space="preserve">Witness protection address</t>
  </si>
  <si>
    <t xml:space="preserve">matching.rolodex</t>
  </si>
  <si>
    <t xml:space="preserve">Access Badge</t>
  </si>
  <si>
    <t xml:space="preserve">10 % bonus efficiency</t>
  </si>
  <si>
    <t xml:space="preserve">8.33 % inputs kept</t>
  </si>
  <si>
    <t xml:space="preserve">10 % inputs kept</t>
  </si>
  <si>
    <t xml:space="preserve">15 % max momentum speed</t>
  </si>
  <si>
    <t xml:space="preserve">MAJOR: Prebuild</t>
  </si>
  <si>
    <t xml:space="preserve">MODIFIER 'prebuild': -50% speed, heat x1.5; each match 5% chance to also produce the tier's payload (skips Compiling)</t>
  </si>
  <si>
    <t xml:space="preserve">Falsified drug trial results</t>
  </si>
  <si>
    <t xml:space="preserve">matching.prebuild</t>
  </si>
  <si>
    <t xml:space="preserve">Account access tokens</t>
  </si>
  <si>
    <t xml:space="preserve">11.67 % bonus efficiency</t>
  </si>
  <si>
    <t xml:space="preserve">13.33 % bonus efficiency</t>
  </si>
  <si>
    <t xml:space="preserve">11.67 % inputs kept</t>
  </si>
  <si>
    <t xml:space="preserve">13.33 % inputs kept</t>
  </si>
  <si>
    <t xml:space="preserve">20 % max momentum speed</t>
  </si>
  <si>
    <t xml:space="preserve">MAJOR: Correlate</t>
  </si>
  <si>
    <t xml:space="preserve">MODIFIER 'correlate': -40% speed; efficiency x2, VM token chance x2, heat x2</t>
  </si>
  <si>
    <t xml:space="preserve">Swift Master Key</t>
  </si>
  <si>
    <t xml:space="preserve">matching.correlate</t>
  </si>
  <si>
    <t xml:space="preserve">Officer Auth Key</t>
  </si>
  <si>
    <t xml:space="preserve">15 % bonus efficiency</t>
  </si>
  <si>
    <t xml:space="preserve">15 % inputs kept</t>
  </si>
  <si>
    <t xml:space="preserve">16.67 % inputs kept</t>
  </si>
  <si>
    <t xml:space="preserve">25 % max momentum speed</t>
  </si>
  <si>
    <t xml:space="preserve">MODIFIER 'survey': half output, +100% Matching XP</t>
  </si>
  <si>
    <t xml:space="preserve">Corruption payout ledger</t>
  </si>
  <si>
    <t xml:space="preserve">matching.survey</t>
  </si>
  <si>
    <t xml:space="preserve">Security Clearance</t>
  </si>
  <si>
    <t xml:space="preserve">18.33 % bonus efficiency</t>
  </si>
  <si>
    <t xml:space="preserve">20 % bonus efficiency</t>
  </si>
  <si>
    <t xml:space="preserve">18.33 % inputs kept</t>
  </si>
  <si>
    <t xml:space="preserve">20 % inputs kept</t>
  </si>
  <si>
    <t xml:space="preserve">30 % max momentum speed</t>
  </si>
  <si>
    <t xml:space="preserve">MAJOR: Cold Storage</t>
  </si>
  <si>
    <t xml:space="preserve">Passive: Overclock, Prebuild and Correlate produce no extra heat</t>
  </si>
  <si>
    <t xml:space="preserve">Nuclear Codes</t>
  </si>
  <si>
    <t xml:space="preserve">matching.cold_storage</t>
  </si>
  <si>
    <t xml:space="preserve">Phishing</t>
  </si>
  <si>
    <t xml:space="preserve">Phishing speed: casts, waits, reels, Smish sends/replies, Trap setup; not Trap's 45 min fill (each install ~14.5% faster than before it)</t>
  </si>
  <si>
    <t xml:space="preserve">SQL Injector</t>
  </si>
  <si>
    <t xml:space="preserve">phishing</t>
  </si>
  <si>
    <t xml:space="preserve">phishing.speed</t>
  </si>
  <si>
    <t xml:space="preserve">Phishing speed (not Trap fill)</t>
  </si>
  <si>
    <t xml:space="preserve">Each process's efficiency x(1 + bonus): bite, reply or Trap rare chance; +20% of its own efficiency at max (59% -&gt; 71%)</t>
  </si>
  <si>
    <t xml:space="preserve">+1.67% of eff</t>
  </si>
  <si>
    <t xml:space="preserve">1.67 % of own efficiency</t>
  </si>
  <si>
    <t xml:space="preserve">phishing.efficiency</t>
  </si>
  <si>
    <t xml:space="preserve">0 % of own efficiency</t>
  </si>
  <si>
    <t xml:space="preserve">Process efficiency, relative (+20% of its own at max)</t>
  </si>
  <si>
    <t xml:space="preserve">3.33 % of own efficiency</t>
  </si>
  <si>
    <t xml:space="preserve">Lines</t>
  </si>
  <si>
    <t xml:space="preserve">Max lines (Spear/Mod: one more parallel cast; Whaling: faster reel; Smish: +8 texts per blast)</t>
  </si>
  <si>
    <t xml:space="preserve">1 extra lines</t>
  </si>
  <si>
    <t xml:space="preserve">phishing.lines</t>
  </si>
  <si>
    <t xml:space="preserve">0 extra lines</t>
  </si>
  <si>
    <t xml:space="preserve">Bait Power</t>
  </si>
  <si>
    <t xml:space="preserve">Bait bite-chance bonus (Logs x1.10 -&gt; x1.15 ...)</t>
  </si>
  <si>
    <t xml:space="preserve">+5%</t>
  </si>
  <si>
    <t xml:space="preserve">5 % bait bonus</t>
  </si>
  <si>
    <t xml:space="preserve">phishing.bait_power</t>
  </si>
  <si>
    <t xml:space="preserve">0 % bait bonus</t>
  </si>
  <si>
    <t xml:space="preserve">Bait Recycling</t>
  </si>
  <si>
    <t xml:space="preserve">Chance a cast's 10 bait are not used up</t>
  </si>
  <si>
    <t xml:space="preserve">5 % bait kept</t>
  </si>
  <si>
    <t xml:space="preserve">phishing.bait_recycling</t>
  </si>
  <si>
    <t xml:space="preserve">0 % bait kept</t>
  </si>
  <si>
    <t xml:space="preserve">Quick Hook</t>
  </si>
  <si>
    <t xml:space="preserve">Faster reel-in after a bite (Spear/Mod download, Whaling reel, Smish reply window)</t>
  </si>
  <si>
    <t xml:space="preserve">-5% reel time</t>
  </si>
  <si>
    <t xml:space="preserve">5 % faster reel</t>
  </si>
  <si>
    <t xml:space="preserve">phishing.quick_hook</t>
  </si>
  <si>
    <t xml:space="preserve">0 % faster reel</t>
  </si>
  <si>
    <t xml:space="preserve">phishing.overclock</t>
  </si>
  <si>
    <t xml:space="preserve">5 % of own efficiency</t>
  </si>
  <si>
    <t xml:space="preserve">6.67 % of own efficiency</t>
  </si>
  <si>
    <t xml:space="preserve">2 extra lines</t>
  </si>
  <si>
    <t xml:space="preserve">10 % bait bonus</t>
  </si>
  <si>
    <t xml:space="preserve">10 % bait kept</t>
  </si>
  <si>
    <t xml:space="preserve">10 % faster reel</t>
  </si>
  <si>
    <t xml:space="preserve">MAJOR: Tackle Box</t>
  </si>
  <si>
    <t xml:space="preserve">Passive: VM Phishing token chance x2</t>
  </si>
  <si>
    <t xml:space="preserve">phishing.tackle_box</t>
  </si>
  <si>
    <t xml:space="preserve">8.33 % of own efficiency</t>
  </si>
  <si>
    <t xml:space="preserve">10 % of own efficiency</t>
  </si>
  <si>
    <t xml:space="preserve">3 extra lines</t>
  </si>
  <si>
    <t xml:space="preserve">15 % bait bonus</t>
  </si>
  <si>
    <t xml:space="preserve">15 % bait kept</t>
  </si>
  <si>
    <t xml:space="preserve">15 % faster reel</t>
  </si>
  <si>
    <t xml:space="preserve">MAJOR: Lure</t>
  </si>
  <si>
    <t xml:space="preserve">MODIFIER 'lure': -50% speed, heat x1.5; each catch 3% chance to also hook a hacking mod item (not Trap)</t>
  </si>
  <si>
    <t xml:space="preserve">phishing.lure</t>
  </si>
  <si>
    <t xml:space="preserve">11.67 % of own efficiency</t>
  </si>
  <si>
    <t xml:space="preserve">13.33 % of own efficiency</t>
  </si>
  <si>
    <t xml:space="preserve">4 extra lines</t>
  </si>
  <si>
    <t xml:space="preserve">20 % bait bonus</t>
  </si>
  <si>
    <t xml:space="preserve">20 % bait kept</t>
  </si>
  <si>
    <t xml:space="preserve">20 % faster reel</t>
  </si>
  <si>
    <t xml:space="preserve">MAJOR: Chum</t>
  </si>
  <si>
    <t xml:space="preserve">MODIFIER 'chum': -40% speed; every catch doubled, VM token chance x2, heat x2 (not Trap)</t>
  </si>
  <si>
    <t xml:space="preserve">phishing.chum</t>
  </si>
  <si>
    <t xml:space="preserve">15 % of own efficiency</t>
  </si>
  <si>
    <t xml:space="preserve">16.67 % of own efficiency</t>
  </si>
  <si>
    <t xml:space="preserve">5 extra lines</t>
  </si>
  <si>
    <t xml:space="preserve">25 % bait bonus</t>
  </si>
  <si>
    <t xml:space="preserve">25 % bait kept</t>
  </si>
  <si>
    <t xml:space="preserve">25 % faster reel</t>
  </si>
  <si>
    <t xml:space="preserve">MODIFIER 'survey': half catches, +100% Phishing XP</t>
  </si>
  <si>
    <t xml:space="preserve">phishing.survey</t>
  </si>
  <si>
    <t xml:space="preserve">18.33 % of own efficiency</t>
  </si>
  <si>
    <t xml:space="preserve">20 % of own efficiency</t>
  </si>
  <si>
    <t xml:space="preserve">6 extra lines</t>
  </si>
  <si>
    <t xml:space="preserve">30 % bait bonus</t>
  </si>
  <si>
    <t xml:space="preserve">30 % bait kept</t>
  </si>
  <si>
    <t xml:space="preserve">30 % faster reel</t>
  </si>
  <si>
    <t xml:space="preserve">MAJOR: Deep Water</t>
  </si>
  <si>
    <t xml:space="preserve">Passive: Overclock, Lure and Chum produce no extra heat</t>
  </si>
  <si>
    <t xml:space="preserve">phishing.deep_water</t>
  </si>
  <si>
    <t xml:space="preserve">Decoding</t>
  </si>
  <si>
    <t xml:space="preserve">Decode cycle speed (each install ~14.5% faster than before it)</t>
  </si>
  <si>
    <t xml:space="preserve">Logs (decoded from caches)</t>
  </si>
  <si>
    <t xml:space="preserve">decoding</t>
  </si>
  <si>
    <t xml:space="preserve">decoding.speed</t>
  </si>
  <si>
    <t xml:space="preserve">Decode cycle speed</t>
  </si>
  <si>
    <t xml:space="preserve">Each process's efficiency x(1 + bonus): Cache / Deep Scan rare chance, Skim +50% basics, Package double, Intel finds, Salvage doubles; +20% of its own at max (Cache rare 7.9% -&gt; 9.5% at L99)</t>
  </si>
  <si>
    <t xml:space="preserve">decoding.efficiency</t>
  </si>
  <si>
    <t xml:space="preserve">Yield</t>
  </si>
  <si>
    <t xml:space="preserve">Basic resources per decoded cache</t>
  </si>
  <si>
    <t xml:space="preserve">10 % more basics</t>
  </si>
  <si>
    <t xml:space="preserve">decoding.yield</t>
  </si>
  <si>
    <t xml:space="preserve">0 % more basics</t>
  </si>
  <si>
    <t xml:space="preserve">Rare Tracker</t>
  </si>
  <si>
    <t xml:space="preserve">Each cache without a rare adds rare chance to the next (resets on a rare drop); bad-luck protection</t>
  </si>
  <si>
    <t xml:space="preserve">+0.25% per miss</t>
  </si>
  <si>
    <t xml:space="preserve">0.25 % added per dry cache</t>
  </si>
  <si>
    <t xml:space="preserve">decoding.rare_tracker</t>
  </si>
  <si>
    <t xml:space="preserve">0 % added per dry cache</t>
  </si>
  <si>
    <t xml:space="preserve">Compression</t>
  </si>
  <si>
    <t xml:space="preserve">More basic resources per decoded cache (stacks with Yield)</t>
  </si>
  <si>
    <t xml:space="preserve">decoding.compression</t>
  </si>
  <si>
    <t xml:space="preserve">Field Notes</t>
  </si>
  <si>
    <t xml:space="preserve">Intel lasts more hacks: +1 max intel hack, and a first find starts with +1 hack</t>
  </si>
  <si>
    <t xml:space="preserve">+1 hack</t>
  </si>
  <si>
    <t xml:space="preserve">1 extra intel hacks</t>
  </si>
  <si>
    <t xml:space="preserve">decoding.field_notes</t>
  </si>
  <si>
    <t xml:space="preserve">0 extra intel hacks</t>
  </si>
  <si>
    <t xml:space="preserve">decoding.overclock</t>
  </si>
  <si>
    <t xml:space="preserve">Archives (decoded from caches)</t>
  </si>
  <si>
    <t xml:space="preserve">20 % more basics</t>
  </si>
  <si>
    <t xml:space="preserve">0.5 % added per dry cache</t>
  </si>
  <si>
    <t xml:space="preserve">2 extra intel hacks</t>
  </si>
  <si>
    <t xml:space="preserve">MAJOR: Token Vault</t>
  </si>
  <si>
    <t xml:space="preserve">Passive: VM Decoding token chance x2</t>
  </si>
  <si>
    <t xml:space="preserve">decoding.token_vault</t>
  </si>
  <si>
    <t xml:space="preserve">Metadata (decoded from caches)</t>
  </si>
  <si>
    <t xml:space="preserve">30 % more basics</t>
  </si>
  <si>
    <t xml:space="preserve">0.75 % added per dry cache</t>
  </si>
  <si>
    <t xml:space="preserve">3 extra intel hacks</t>
  </si>
  <si>
    <t xml:space="preserve">MAJOR: Index</t>
  </si>
  <si>
    <t xml:space="preserve">MODIFIER 'index': -50% speed, heat x1.5; each decoded cache adds 1 intel point on the target it came from</t>
  </si>
  <si>
    <t xml:space="preserve">decoding.index</t>
  </si>
  <si>
    <t xml:space="preserve">Cookies (decoded from caches)</t>
  </si>
  <si>
    <t xml:space="preserve">40 % more basics</t>
  </si>
  <si>
    <t xml:space="preserve">1 % added per dry cache</t>
  </si>
  <si>
    <t xml:space="preserve">4 extra intel hacks</t>
  </si>
  <si>
    <t xml:space="preserve">MAJOR: Forensics</t>
  </si>
  <si>
    <t xml:space="preserve">MODIFIER 'forensics': -40% speed; one-time item find chance x2, VM token chance x2, heat x2</t>
  </si>
  <si>
    <t xml:space="preserve">decoding.forensics</t>
  </si>
  <si>
    <t xml:space="preserve">Repositories (decoded from caches)</t>
  </si>
  <si>
    <t xml:space="preserve">50 % more basics</t>
  </si>
  <si>
    <t xml:space="preserve">1.25 % added per dry cache</t>
  </si>
  <si>
    <t xml:space="preserve">5 extra intel hacks</t>
  </si>
  <si>
    <t xml:space="preserve">MODIFIER 'survey': half loot, +100% Decoding XP</t>
  </si>
  <si>
    <t xml:space="preserve">decoding.survey</t>
  </si>
  <si>
    <t xml:space="preserve">Databases (decoded from caches)</t>
  </si>
  <si>
    <t xml:space="preserve">60 % more basics</t>
  </si>
  <si>
    <t xml:space="preserve">1.5 % added per dry cache</t>
  </si>
  <si>
    <t xml:space="preserve">6 extra intel hacks</t>
  </si>
  <si>
    <t xml:space="preserve">MAJOR: Clean Room</t>
  </si>
  <si>
    <t xml:space="preserve">Passive: Overclock, Index and Forensics produce no extra heat</t>
  </si>
  <si>
    <t xml:space="preserve">decoding.clean_room</t>
  </si>
  <si>
    <t xml:space="preserve">Compiling</t>
  </si>
  <si>
    <t xml:space="preserve">Compile cycle speed (each install ~14.5% faster than before it)</t>
  </si>
  <si>
    <t xml:space="preserve">School payload</t>
  </si>
  <si>
    <t xml:space="preserve">compiling</t>
  </si>
  <si>
    <t xml:space="preserve">compiling.speed</t>
  </si>
  <si>
    <t xml:space="preserve">Compile cycle speed</t>
  </si>
  <si>
    <t xml:space="preserve">Burst chance x(1 + bonus) (burst: 100x speed for 1 second, no heat); +20% of its own at max (10.8% -&gt; 13% at L99)</t>
  </si>
  <si>
    <t xml:space="preserve">compiling.efficiency</t>
  </si>
  <si>
    <t xml:space="preserve">Burst chance, relative (+20% of its own at max)</t>
  </si>
  <si>
    <t xml:space="preserve">Chance a fill's inputs are not consumed (payloads and mod hacks); 20% at max</t>
  </si>
  <si>
    <t xml:space="preserve">compiling.recovery</t>
  </si>
  <si>
    <t xml:space="preserve">Linker</t>
  </si>
  <si>
    <t xml:space="preserve">Chance to build two payloads at once</t>
  </si>
  <si>
    <t xml:space="preserve">+2.5%</t>
  </si>
  <si>
    <t xml:space="preserve">2.5 % double payload</t>
  </si>
  <si>
    <t xml:space="preserve">compiling.linker</t>
  </si>
  <si>
    <t xml:space="preserve">0 % double payload</t>
  </si>
  <si>
    <t xml:space="preserve">Mod Tuning</t>
  </si>
  <si>
    <t xml:space="preserve">Hacking mods built with Mod are stronger</t>
  </si>
  <si>
    <t xml:space="preserve">5 % stronger compiled mods</t>
  </si>
  <si>
    <t xml:space="preserve">compiling.mod_tuning</t>
  </si>
  <si>
    <t xml:space="preserve">0 % stronger compiled mods</t>
  </si>
  <si>
    <t xml:space="preserve">MODIFIER 'overclock': faster, more heat (not on Access)</t>
  </si>
  <si>
    <t xml:space="preserve">compiling.overclock</t>
  </si>
  <si>
    <t xml:space="preserve">Lawfirm Payload</t>
  </si>
  <si>
    <t xml:space="preserve">5 % double payload</t>
  </si>
  <si>
    <t xml:space="preserve">10 % stronger compiled mods</t>
  </si>
  <si>
    <t xml:space="preserve">MAJOR: Build Cache</t>
  </si>
  <si>
    <t xml:space="preserve">Passive: VM Compiling token chance x2</t>
  </si>
  <si>
    <t xml:space="preserve">compiling.build_cache</t>
  </si>
  <si>
    <t xml:space="preserve">Hospital Payload</t>
  </si>
  <si>
    <t xml:space="preserve">7.5 % double payload</t>
  </si>
  <si>
    <t xml:space="preserve">15 % stronger compiled mods</t>
  </si>
  <si>
    <t xml:space="preserve">MAJOR: Debug Build</t>
  </si>
  <si>
    <t xml:space="preserve">MODIFIER 'debug': -50% speed, heat x1.5; Mod can build the mod up to +50% more hacks (Mod only)</t>
  </si>
  <si>
    <t xml:space="preserve">compiling.debug_build</t>
  </si>
  <si>
    <t xml:space="preserve">Bank Payload</t>
  </si>
  <si>
    <t xml:space="preserve">10 % double payload</t>
  </si>
  <si>
    <t xml:space="preserve">20 % stronger compiled mods</t>
  </si>
  <si>
    <t xml:space="preserve">MAJOR: Optimize</t>
  </si>
  <si>
    <t xml:space="preserve">MODIFIER 'optimize': -40% speed; burst chance x2, VM token chance x2, heat x2</t>
  </si>
  <si>
    <t xml:space="preserve">compiling.optimize</t>
  </si>
  <si>
    <t xml:space="preserve">Police Payload</t>
  </si>
  <si>
    <t xml:space="preserve">12.5 % double payload</t>
  </si>
  <si>
    <t xml:space="preserve">25 % stronger compiled mods</t>
  </si>
  <si>
    <t xml:space="preserve">MODIFIER 'survey': half output, +100% Compiling XP</t>
  </si>
  <si>
    <t xml:space="preserve">compiling.survey</t>
  </si>
  <si>
    <t xml:space="preserve">Government Payload</t>
  </si>
  <si>
    <t xml:space="preserve">15 % double payload</t>
  </si>
  <si>
    <t xml:space="preserve">30 % stronger compiled mods</t>
  </si>
  <si>
    <t xml:space="preserve">MAJOR: Cold Build</t>
  </si>
  <si>
    <t xml:space="preserve">Passive: Overclock, Debug Build and Optimize produce no extra heat</t>
  </si>
  <si>
    <t xml:space="preserve">compiling.cold_build</t>
  </si>
  <si>
    <t xml:space="preserve">Hacking</t>
  </si>
  <si>
    <t xml:space="preserve">SQL Damage</t>
  </si>
  <si>
    <t xml:space="preserve">Integrity damage per SQL attack; each level also adds attack heat (balances System cooling)</t>
  </si>
  <si>
    <t xml:space="preserve">+5 dmg, +0.1 heat</t>
  </si>
  <si>
    <t xml:space="preserve">25 dmg</t>
  </si>
  <si>
    <t xml:space="preserve">Student cache</t>
  </si>
  <si>
    <t xml:space="preserve">hacking</t>
  </si>
  <si>
    <t xml:space="preserve">hacking.damage</t>
  </si>
  <si>
    <t xml:space="preserve">20 dmg</t>
  </si>
  <si>
    <t xml:space="preserve">Firewall Damage</t>
  </si>
  <si>
    <t xml:space="preserve">Firewall damage per SQL attack</t>
  </si>
  <si>
    <t xml:space="preserve">+2</t>
  </si>
  <si>
    <t xml:space="preserve">3 firewall dmg</t>
  </si>
  <si>
    <t xml:space="preserve">hacking.firewall</t>
  </si>
  <si>
    <t xml:space="preserve">1 firewall dmg</t>
  </si>
  <si>
    <t xml:space="preserve">Bandwidth Recovery</t>
  </si>
  <si>
    <t xml:space="preserve">Bandwidth regenerated per second</t>
  </si>
  <si>
    <t xml:space="preserve">+0.5/s</t>
  </si>
  <si>
    <t xml:space="preserve">1.5 /s bandwidth regen</t>
  </si>
  <si>
    <t xml:space="preserve">Admin cache</t>
  </si>
  <si>
    <t xml:space="preserve">hacking.bandwidth_recovery</t>
  </si>
  <si>
    <t xml:space="preserve">1 /s bandwidth regen</t>
  </si>
  <si>
    <t xml:space="preserve">2 /s bandwidth regen</t>
  </si>
  <si>
    <t xml:space="preserve">Max Bandwidth</t>
  </si>
  <si>
    <t xml:space="preserve">Max bandwidth (room for mod bandwidth costs)</t>
  </si>
  <si>
    <t xml:space="preserve">+5</t>
  </si>
  <si>
    <t xml:space="preserve">15 max bandwidth</t>
  </si>
  <si>
    <t xml:space="preserve">Vice principal cache</t>
  </si>
  <si>
    <t xml:space="preserve">hacking.max_bandwidth</t>
  </si>
  <si>
    <t xml:space="preserve">10 max bandwidth</t>
  </si>
  <si>
    <t xml:space="preserve">Packet Spoof Healing</t>
  </si>
  <si>
    <t xml:space="preserve">Packet Spoof restores a % of max anonymity (base 5% = today's 5 of 100); Restore mods add % points (+5 = +5%)</t>
  </si>
  <si>
    <t xml:space="preserve">+1% of max anon</t>
  </si>
  <si>
    <t xml:space="preserve">6 % of max anonymity per spoof</t>
  </si>
  <si>
    <t xml:space="preserve">hacking.healing</t>
  </si>
  <si>
    <t xml:space="preserve">5 % of max anonymity per spoof</t>
  </si>
  <si>
    <t xml:space="preserve">Mod Slot</t>
  </si>
  <si>
    <t xml:space="preserve">+1 hacking mod slot</t>
  </si>
  <si>
    <t xml:space="preserve">+1 slot</t>
  </si>
  <si>
    <t xml:space="preserve">2 mod slots</t>
  </si>
  <si>
    <t xml:space="preserve">Principal cache</t>
  </si>
  <si>
    <t xml:space="preserve">hacking.mod_slots</t>
  </si>
  <si>
    <t xml:space="preserve">1 mod slots</t>
  </si>
  <si>
    <t xml:space="preserve">Spoof Threshold</t>
  </si>
  <si>
    <t xml:space="preserve">Packet Spoof starts auto-healing at a higher anonymity %</t>
  </si>
  <si>
    <t xml:space="preserve">40 % auto-spoof threshold</t>
  </si>
  <si>
    <t xml:space="preserve">hacking.spoof_threshold</t>
  </si>
  <si>
    <t xml:space="preserve">30 % auto-spoof threshold</t>
  </si>
  <si>
    <t xml:space="preserve">Persistent Session</t>
  </si>
  <si>
    <t xml:space="preserve">More EXPLOIT charge from every combat event</t>
  </si>
  <si>
    <t xml:space="preserve">+10% charge gain</t>
  </si>
  <si>
    <t xml:space="preserve">10 % charge gain</t>
  </si>
  <si>
    <t xml:space="preserve">Superintendent cache</t>
  </si>
  <si>
    <t xml:space="preserve">hacking.persistent_session</t>
  </si>
  <si>
    <t xml:space="preserve">0 % charge gain</t>
  </si>
  <si>
    <t xml:space="preserve">MAJOR: Second Wind</t>
  </si>
  <si>
    <t xml:space="preserve">Each win in a multi-hack run restores 25% of max anonymity (anonymity carries over between fights)</t>
  </si>
  <si>
    <t xml:space="preserve">hacking.second_wind</t>
  </si>
  <si>
    <t xml:space="preserve">+25 dmg, +0.1 heat</t>
  </si>
  <si>
    <t xml:space="preserve">50 dmg</t>
  </si>
  <si>
    <t xml:space="preserve">Legal assistant cache</t>
  </si>
  <si>
    <t xml:space="preserve">+3</t>
  </si>
  <si>
    <t xml:space="preserve">6 firewall dmg</t>
  </si>
  <si>
    <t xml:space="preserve">2.5 /s bandwidth regen</t>
  </si>
  <si>
    <t xml:space="preserve">Paralegal cache</t>
  </si>
  <si>
    <t xml:space="preserve">3 /s bandwidth regen</t>
  </si>
  <si>
    <t xml:space="preserve">20 max bandwidth</t>
  </si>
  <si>
    <t xml:space="preserve">Associate attorney cache</t>
  </si>
  <si>
    <t xml:space="preserve">7 % of max anonymity per spoof</t>
  </si>
  <si>
    <t xml:space="preserve">3 mod slots</t>
  </si>
  <si>
    <t xml:space="preserve">Lawyer cache</t>
  </si>
  <si>
    <t xml:space="preserve">50 % auto-spoof threshold</t>
  </si>
  <si>
    <t xml:space="preserve">20 % charge gain</t>
  </si>
  <si>
    <t xml:space="preserve">Partner cache</t>
  </si>
  <si>
    <t xml:space="preserve">MAJOR: Evasion</t>
  </si>
  <si>
    <t xml:space="preserve">10% chance to dodge a countermeasure completely</t>
  </si>
  <si>
    <t xml:space="preserve">hacking.evasion</t>
  </si>
  <si>
    <t xml:space="preserve">+38 dmg, +0.1 heat</t>
  </si>
  <si>
    <t xml:space="preserve">88 dmg</t>
  </si>
  <si>
    <t xml:space="preserve">Receptionist cache</t>
  </si>
  <si>
    <t xml:space="preserve">11 firewall dmg</t>
  </si>
  <si>
    <t xml:space="preserve">3.5 /s bandwidth regen</t>
  </si>
  <si>
    <t xml:space="preserve">Orderly cache</t>
  </si>
  <si>
    <t xml:space="preserve">4 /s bandwidth regen</t>
  </si>
  <si>
    <t xml:space="preserve">25 max bandwidth</t>
  </si>
  <si>
    <t xml:space="preserve">Nurse cache</t>
  </si>
  <si>
    <t xml:space="preserve">8 % of max anonymity per spoof</t>
  </si>
  <si>
    <t xml:space="preserve">4 mod slots</t>
  </si>
  <si>
    <t xml:space="preserve">Doctor cache</t>
  </si>
  <si>
    <t xml:space="preserve">60 % auto-spoof threshold</t>
  </si>
  <si>
    <t xml:space="preserve">30 % charge gain</t>
  </si>
  <si>
    <t xml:space="preserve">Chief of medicine cache</t>
  </si>
  <si>
    <t xml:space="preserve">MAJOR: Recycler</t>
  </si>
  <si>
    <t xml:space="preserve">50% chance an SQL Injector is not consumed</t>
  </si>
  <si>
    <t xml:space="preserve">hacking.recycler</t>
  </si>
  <si>
    <t xml:space="preserve">+50 dmg, +0.1 heat</t>
  </si>
  <si>
    <t xml:space="preserve">138 dmg</t>
  </si>
  <si>
    <t xml:space="preserve">Teller Cache</t>
  </si>
  <si>
    <t xml:space="preserve">+6</t>
  </si>
  <si>
    <t xml:space="preserve">17 firewall dmg</t>
  </si>
  <si>
    <t xml:space="preserve">4.5 /s bandwidth regen</t>
  </si>
  <si>
    <t xml:space="preserve">Loan Officer Cache</t>
  </si>
  <si>
    <t xml:space="preserve">5 /s bandwidth regen</t>
  </si>
  <si>
    <t xml:space="preserve">30 max bandwidth</t>
  </si>
  <si>
    <t xml:space="preserve">Branch Manager Cache</t>
  </si>
  <si>
    <t xml:space="preserve">9 % of max anonymity per spoof</t>
  </si>
  <si>
    <t xml:space="preserve">5 mod slots</t>
  </si>
  <si>
    <t xml:space="preserve">Security Cache</t>
  </si>
  <si>
    <t xml:space="preserve">70 % auto-spoof threshold</t>
  </si>
  <si>
    <t xml:space="preserve">40 % charge gain</t>
  </si>
  <si>
    <t xml:space="preserve">Chief Financial Officer Cache</t>
  </si>
  <si>
    <t xml:space="preserve">MAJOR: Siphon</t>
  </si>
  <si>
    <t xml:space="preserve">Each SQL hit restores 0.5% of max anonymity</t>
  </si>
  <si>
    <t xml:space="preserve">hacking.siphon</t>
  </si>
  <si>
    <t xml:space="preserve">+62 dmg, +0.1 heat</t>
  </si>
  <si>
    <t xml:space="preserve">200 dmg</t>
  </si>
  <si>
    <t xml:space="preserve">Secretary cache</t>
  </si>
  <si>
    <t xml:space="preserve">+7</t>
  </si>
  <si>
    <t xml:space="preserve">24 firewall dmg</t>
  </si>
  <si>
    <t xml:space="preserve">5.5 /s bandwidth regen</t>
  </si>
  <si>
    <t xml:space="preserve">Cop cache</t>
  </si>
  <si>
    <t xml:space="preserve">6 /s bandwidth regen</t>
  </si>
  <si>
    <t xml:space="preserve">35 max bandwidth</t>
  </si>
  <si>
    <t xml:space="preserve">Detective cache</t>
  </si>
  <si>
    <t xml:space="preserve">10 % of max anonymity per spoof</t>
  </si>
  <si>
    <t xml:space="preserve">6 mod slots</t>
  </si>
  <si>
    <t xml:space="preserve">Sergeant cache</t>
  </si>
  <si>
    <t xml:space="preserve">80 % auto-spoof threshold</t>
  </si>
  <si>
    <t xml:space="preserve">50 % charge gain</t>
  </si>
  <si>
    <t xml:space="preserve">Captain cache</t>
  </si>
  <si>
    <t xml:space="preserve">MAJOR: Dead Man's Switch</t>
  </si>
  <si>
    <t xml:space="preserve">Once per session, a hit that would trace you leaves you at 1 and restores 25% anonymity</t>
  </si>
  <si>
    <t xml:space="preserve">hacking.dead_mans_switch</t>
  </si>
  <si>
    <t xml:space="preserve">+100 dmg, +0.1 heat</t>
  </si>
  <si>
    <t xml:space="preserve">300 dmg</t>
  </si>
  <si>
    <t xml:space="preserve">Clerk Cache</t>
  </si>
  <si>
    <t xml:space="preserve">+12</t>
  </si>
  <si>
    <t xml:space="preserve">36 firewall dmg</t>
  </si>
  <si>
    <t xml:space="preserve">6.5 /s bandwidth regen</t>
  </si>
  <si>
    <t xml:space="preserve">Analyst Cache</t>
  </si>
  <si>
    <t xml:space="preserve">7 /s bandwidth regen</t>
  </si>
  <si>
    <t xml:space="preserve">40 max bandwidth</t>
  </si>
  <si>
    <t xml:space="preserve">Ambassador Cache</t>
  </si>
  <si>
    <t xml:space="preserve">11 % of max anonymity per spoof</t>
  </si>
  <si>
    <t xml:space="preserve">7 mod slots</t>
  </si>
  <si>
    <t xml:space="preserve">Vice President Cache</t>
  </si>
  <si>
    <t xml:space="preserve">90 % auto-spoof threshold</t>
  </si>
  <si>
    <t xml:space="preserve">60 % charge gain</t>
  </si>
  <si>
    <t xml:space="preserve">President Cache</t>
  </si>
  <si>
    <t xml:space="preserve">MAJOR: Exploit Kit</t>
  </si>
  <si>
    <t xml:space="preserve">50% chance a one-time item is not consumed</t>
  </si>
  <si>
    <t xml:space="preserve">hacking.exploit_kit</t>
  </si>
  <si>
    <t xml:space="preserve">Cost inputs — every Amount in 'All Upgrades' is calculated from this sheet (blue = edit me)</t>
  </si>
  <si>
    <t xml:space="preserve">Hours of solo running per skill, per tier (Tier 1)</t>
  </si>
  <si>
    <t xml:space="preserve">Tier time growth (each tier takes this much longer)</t>
  </si>
  <si>
    <t xml:space="preserve">Cost growth per install within a tier</t>
  </si>
  <si>
    <t xml:space="preserve">In-tier speed factor (avg speed while buying that tier's 3 speed installs)</t>
  </si>
  <si>
    <t xml:space="preserve">Rare items per capstone</t>
  </si>
  <si>
    <t xml:space="preserve">VM tokens for a token install (Tier 1)</t>
  </si>
  <si>
    <t xml:space="preserve">VM token cost growth per tier</t>
  </si>
  <si>
    <t xml:space="preserve">Weight sum of 10 installs (formula)</t>
  </si>
  <si>
    <t xml:space="preserve">Currency</t>
  </si>
  <si>
    <t xml:space="preserve">Items per hour (Tier 1, level 10, no upgrades)</t>
  </si>
  <si>
    <t xml:space="preserve">Source</t>
  </si>
  <si>
    <t xml:space="preserve">Tier mined item</t>
  </si>
  <si>
    <t xml:space="preserve">Measured: mine -logs, 8s cycles</t>
  </si>
  <si>
    <t xml:space="preserve">Tier address + encrypted + identifier (total)</t>
  </si>
  <si>
    <t xml:space="preserve">Measured: parse -footprint=logs</t>
  </si>
  <si>
    <t xml:space="preserve">Tier cracked item</t>
  </si>
  <si>
    <t xml:space="preserve">Measured: crack -password</t>
  </si>
  <si>
    <t xml:space="preserve">Tier matched item</t>
  </si>
  <si>
    <t xml:space="preserve">Measured: match -cred</t>
  </si>
  <si>
    <t xml:space="preserve">SQL Injectors + Packet Spoofs</t>
  </si>
  <si>
    <t xml:space="preserve">Measured L10 spear: 217/h unbaited, 445/h baited (~6.5k Logs/h); ~330/h with bait limited to ~3k Logs/h</t>
  </si>
  <si>
    <t xml:space="preserve">Tier mined item from caches</t>
  </si>
  <si>
    <t xml:space="preserve">Measured 120 caches/h x ~37.5 Logs per Student cache</t>
  </si>
  <si>
    <t xml:space="preserve">Tier payload</t>
  </si>
  <si>
    <t xml:space="preserve">Measured: compile -school</t>
  </si>
  <si>
    <t xml:space="preserve">Tier's first-target cache</t>
  </si>
  <si>
    <t xml:space="preserve">Student fights ~44s each incl. access (earlier fight logs)</t>
  </si>
  <si>
    <t xml:space="preserve">VM tokens</t>
  </si>
  <si>
    <t xml:space="preserve">Not time-priced: B9 x B10^(tier-1)</t>
  </si>
  <si>
    <t xml:space="preserve">How an Amount is priced: hours x tier growth^(tier-1) x items/hour x in-tier speed x install growth^(install-1) / weight sum.</t>
  </si>
  <si>
    <t xml:space="preserve">So one skill's 10 installs in a tier cost exactly 'hours x tier growth^(tier-1)' of solo running at that tier's expected speed.</t>
  </si>
  <si>
    <t xml:space="preserve">Rates assume each tier's process runs about as fast as Tier 1 did (1.5x slower base, 1.5x faster from the previous tier's speed installs).</t>
  </si>
  <si>
    <t xml:space="preserve">IdleOS — Upgrade system plan (DRAFT for balancing)</t>
  </si>
  <si>
    <t xml:space="preserve">MODEL</t>
  </si>
  <si>
    <t xml:space="preserve">  • 9 upgrade groups, 6 tiers each, exactly 10 installs per tier.</t>
  </si>
  <si>
    <t xml:space="preserve">  • Each install = +0.1 version. Finishing a tier lands on a clean x.0 (v1.0 ... v6.0). Start at v0.0.</t>
  </si>
  <si>
    <t xml:space="preserve">  • A tier's 10 installs unlock when that location unlocks (via the upload goal you already built).</t>
  </si>
  <si>
    <t xml:space="preserve">SLOT MIX PER TIER (10)</t>
  </si>
  <si>
    <t xml:space="preserve">  • ~6-7 Track rows: speed / efficiency / a group stat. Repeat each tier, values scale.</t>
  </si>
  <si>
    <t xml:space="preserve">  • ~2-3 Pointed rows (blue): change HOW the skill plays, not just a stat. Same concept each tier, scaling.</t>
  </si>
  <si>
    <t xml:space="preserve">  • 1 Capstone / MAJOR release (gold): the x.0 standout for that tier.</t>
  </si>
  <si>
    <t xml:space="preserve">COSTS (draft)</t>
  </si>
  <si>
    <t xml:space="preserve">  • Track rows cost that tier's basic resource; Pointed rows cost that tier's cache; Capstone adds a tier rare item.</t>
  </si>
  <si>
    <t xml:space="preserve">  • Amounts scale by tier (x1, x2.2, x4.5, x9, x18, x36) and by install index. Tune freely.</t>
  </si>
  <si>
    <t xml:space="preserve">HOW INSTALLS FEEL (planned, not in this sheet)</t>
  </si>
  <si>
    <t xml:space="preserve">  • apt-style install sequence + progress bar, before/after numbers (2.4s -&gt; 2.1s), version banner.</t>
  </si>
  <si>
    <t xml:space="preserve">  • Each x.0 gets a MAJOR RELEASE banner + changelog of that tier's 10 installs.</t>
  </si>
  <si>
    <t xml:space="preserve">  • apt overview: a version bar per skill; locked tiers shown dim ('requires Lawfirm access').</t>
  </si>
  <si>
    <t xml:space="preserve">NOTE ON MATCHING</t>
  </si>
  <si>
    <t xml:space="preserve">  • Today Matching's hidden quantity bonus reads Upgrades.MATCHING.version (3+version*10). That's the only</t>
  </si>
  <si>
    <t xml:space="preserve">    place 'version' does anything mechanical. Under this plan that becomes the Efficiency/Yield tracks instead,</t>
  </si>
  <si>
    <t xml:space="preserve">    so version goes back to being pure flavor. No puzzle exists — that was my mistake in the earlier message.</t>
  </si>
  <si>
    <t xml:space="preserve">SYSTEM (decided)</t>
  </si>
  <si>
    <t xml:space="preserve">  • Cooling, Heat Reduction, VM Windows: 1 per tier. Background Services: 2 per tier, 2h each on top of a 1h base -&gt; 24h offline cap at max (code caps at 24).</t>
  </si>
  <si>
    <t xml:space="preserve">  • Defrag: duration 10 -&gt; 25 min, cooldown 40 -&gt; 25 min (2.5 min steps) — they meet at max, so boosts never overlap.</t>
  </si>
  <si>
    <t xml:space="preserve">  • Capstones: Overheat Fan, Idle Cooling, Liquid Cooling, Load Balancer, Watchdog, Server Rack.</t>
  </si>
  <si>
    <t xml:space="preserve">HACKING (decided / proposed)</t>
  </si>
  <si>
    <t xml:space="preserve">  • Per tier: SQL Damage (+5 dmg, +0.1 heat), Firewall Dmg +2, BW Recovery x2 (+0.5/s), Max BW +5, Spoof Healing +1% of max anon (5% -&gt; 11%),</t>
  </si>
  <si>
    <t xml:space="preserve">    Mod Slot +1 (1 -&gt; 7), Spoof Threshold +10% (30% -&gt; 90%), Persistent Session +10% charge gain, Capstone.</t>
  </si>
  <si>
    <t xml:space="preserve">  • At max: SQL attack heat 0.9 - 0.6 System heat reduction = 0.3 net, the same as an attack makes today.</t>
  </si>
  <si>
    <t xml:space="preserve">  • Capstones: Second Wind, Evasion, Recycler, Siphon, Dead Man's Switch, Exploit Kit (decided).</t>
  </si>
  <si>
    <t xml:space="preserve">  • Unused alternates: Multi-Thread, Chain Breach, Overkill Carry.</t>
  </si>
  <si>
    <t xml:space="preserve">  • Max anonymity is NOT an apt upgrade: hybrid (wired): 100 + 5 x (Hacking level - 1) + 100 x (locations unlocked - 1) — see 'Max Anonymity' tab.</t>
  </si>
  <si>
    <t xml:space="preserve">MINING (decided)</t>
  </si>
  <si>
    <t xml:space="preserve">  • Per tier: Speed x3, Efficiency x2 (+8.33%, +100% max), Heat Sink x2 (-2% Mining heat, -24% max), Vein Detection, Pipelining, Capstone.</t>
  </si>
  <si>
    <t xml:space="preserve">  • Mining level efficiency: lower from +8%/level (784% at 99) to +3.5%/level (343% at 99) -&gt; 443% total at max</t>
  </si>
  <si>
    <t xml:space="preserve">    (~5.4 resources per cycle). Game value: 'efficiency rate' 0.08 -&gt; 0.035 on every Mining process.</t>
  </si>
  <si>
    <t xml:space="preserve">  • Speed: the game adds speed bonuses (1 + total), so the % per install grows each tier to keep the pacing model:</t>
  </si>
  <si>
    <t xml:space="preserve">    3 installs = +50% per tier compounding -&gt; x11.4 at max. Each install is ~14.5% faster than the one before.</t>
  </si>
  <si>
    <t xml:space="preserve">  • Capstones: Overclock (mod), Deep Core, Sift (mod, heat x1.5), Prospect (mod, heat x2), Survey (mod), Cool Bits</t>
  </si>
  <si>
    <t xml:space="preserve">    (Cool Bits removes the extra heat from Overclock, Sift and Prospect). Survey: half resources, +100% XP.</t>
  </si>
  <si>
    <t xml:space="preserve">VM TOKENS (rule for every skill)</t>
  </si>
  <si>
    <t xml:space="preserve">  • Roll VM tokens on time spent processing, not per cycle: chance per cycle = token rate x the cycle's real duration.</t>
  </si>
  <si>
    <t xml:space="preserve">    Otherwise speed upgrades (x11.4) multiply token income: Mining Logs at max would be x27 tokens/hour vs today.</t>
  </si>
  <si>
    <t xml:space="preserve">  • With time-based rolls, only the token capstones raise income: Deep Core / Token Sniffer x2, Prospect / Deep Read x2</t>
  </si>
  <si>
    <t xml:space="preserve">    = x4 at most, which matches demand at max (7 VM windows / 1.6x Scheduler uptime = ~x4.4 tokens needed).</t>
  </si>
  <si>
    <t xml:space="preserve">  • Fallback if x4 feels high in play: +50% per boost instead of x2 (x2.25 with both).</t>
  </si>
  <si>
    <t xml:space="preserve">MODIFIERS (proposed pattern for every skill)</t>
  </si>
  <si>
    <t xml:space="preserve">  • Capstone pattern (approved): T1 Overclock + 3 modifier-command capstones + 2 passive capstones, themed per skill.</t>
  </si>
  <si>
    <t xml:space="preserve">  • A modifier is a command like overclock: '&lt;name&gt;' while the process runs, '&lt;name&gt; -kill' to stop.</t>
  </si>
  <si>
    <t xml:space="preserve">  • One modifier at a time per process (overclock counts). Each has a real trade-off, so it's a choice, not a buff.</t>
  </si>
  <si>
    <t xml:space="preserve">  • They fill the MODIFIERS box in 'info &lt;skill&gt;'; locked rows show 'unlocks at &lt;Skill&gt; vN.0'.</t>
  </si>
  <si>
    <t xml:space="preserve">  • Installs within a tier can be bought in any order; the 10th install of a tier is the x.0 MAJOR RELEASE banner.</t>
  </si>
  <si>
    <t xml:space="preserve">PARSING (decided / proposed)</t>
  </si>
  <si>
    <t xml:space="preserve">  • Per tier: Speed x3, Efficiency x2 (+1.67%, 20% max), Rows x2 (+1), Pattern Cache (+1% per miss), Fast Skip (+10%), Capstone.</t>
  </si>
  <si>
    <t xml:space="preserve">  • Fast Skip replaces Target Lock (Extraction unlocks too late for a Tier 1 upgrade).</t>
  </si>
  <si>
    <t xml:space="preserve">  • Capstones: Overclock, Token Sniffer (VM token x2), Plaintext (mod), Deep Read (mod), Survey (mod), Cold Cache.</t>
  </si>
  <si>
    <t xml:space="preserve">  • 'survey' = the same XP-for-resources command name in every skill.</t>
  </si>
  <si>
    <t xml:space="preserve">CRACKING (decided)</t>
  </si>
  <si>
    <t xml:space="preserve">  • Per tier: Speed x3, Efficiency x2 (+1.67%, 20% max), Recovery x2 (+1.67% input kept, 20% max), Dictionary (+8% box pre-solved),</t>
  </si>
  <si>
    <t xml:space="preserve">    Rainbow Tables (+10% head start after an instant crack), Capstone.</t>
  </si>
  <si>
    <t xml:space="preserve">  • Recovery replaces Yield on converting skills (Cracking, Matching, Compiling): +1 yield/install = 13 out per 1 in</t>
  </si>
  <si>
    <t xml:space="preserve">    at max, which would make the upstream skills irrelevant. 20% keep chance = 1.25 out per 1 in at max.</t>
  </si>
  <si>
    <t xml:space="preserve">  • Capstones: Overclock, Keyring (token x2), Cross-Reference (mod), Analyze (mod), Survey (mod), Cryo Rig.</t>
  </si>
  <si>
    <t xml:space="preserve">MATCHING (decided)</t>
  </si>
  <si>
    <t xml:space="preserve">  • Per tier: Speed x3, Efficiency x2 (20% max), Recovery x2 (20% max), Auto-Correlate (+10% head start), Hot Cache (+1% per match, cap 30%), Capstone.</t>
  </si>
  <si>
    <t xml:space="preserve">  • Removes the hidden version-based quantity bonus (3 + version x 10); these tracks replace it.</t>
  </si>
  <si>
    <t xml:space="preserve">  • Capstones: Overclock, Rolodex (token x2), Prebuild (mod), Correlate (mod), Survey (mod), Cold Storage.</t>
  </si>
  <si>
    <t xml:space="preserve">PHISHING (decided)</t>
  </si>
  <si>
    <t xml:space="preserve">  • Phishing level efficiency (bite chance): +0.5%/level -&gt; +0.3%/level (L99 base ~59%), so bait and Bait Power</t>
  </si>
  <si>
    <t xml:space="preserve">    still matter late. Game value: 'efficiency rate' 0.005 -&gt; 0.003 on Phishing processes.</t>
  </si>
  <si>
    <t xml:space="preserve">  • Per tier: Speed x3, Efficiency x2 (bite chance, 20% max), Lines x1 (+6 max), Bait Power (+5%), Bait Recycling (+5%),</t>
  </si>
  <si>
    <t xml:space="preserve">    Quick Hook (-5% reel), Capstone. Lines are one per tier because each line is a whole parallel cast.</t>
  </si>
  <si>
    <t xml:space="preserve">  • Efficiency is relative (+20% of each process's own efficiency at max) so Smish (3-8% reply) and Trap</t>
  </si>
  <si>
    <t xml:space="preserve">    (15-25% rare) scale with it too. Speed covers every Phishing step except Trap's fixed 45 min fill.</t>
  </si>
  <si>
    <t xml:space="preserve">  • Processes: Spear (T1), Whaling (T2), Smish (T3), Trap (T4), Mod (utility). Upgrade tiers are location tiers.</t>
  </si>
  <si>
    <t xml:space="preserve">  • Capstones: Overclock, Tackle Box (token x2), Lure (mod), Chum (mod), Survey (mod), Deep Water.</t>
  </si>
  <si>
    <t xml:space="preserve">DECODING (decided)</t>
  </si>
  <si>
    <t xml:space="preserve">  • Per tier: Speed x3, Efficiency x2 (rare chance, +4% max), Yield (+10% basics), Rare Tracker (+0.25% per dry cache),</t>
  </si>
  <si>
    <t xml:space="preserve">    Compression (+10% basics per cache), Field Notes (+1 intel hack), Capstone.</t>
  </si>
  <si>
    <t xml:space="preserve">  • Capstones: Overclock, Token Vault (token x2), Index (mod), Forensics (mod), Survey (mod), Clean Room.</t>
  </si>
  <si>
    <t xml:space="preserve">COMPILING (decided)</t>
  </si>
  <si>
    <t xml:space="preserve">  • Per tier: Speed x3, Efficiency x2 (burst chance, 20% max), Recovery x2 (20% max), Linker (+2.5% double payload),</t>
  </si>
  <si>
    <t xml:space="preserve">    Mod Tuning (+5% stronger compiled mods), Capstone.</t>
  </si>
  <si>
    <t xml:space="preserve">  • Capstones: Overclock, Build Cache (token x2), Debug Build (mod), Optimize (mod), Survey (mod), Cold Build.</t>
  </si>
  <si>
    <t xml:space="preserve">COSTS (formula-driven — edit the blue inputs on the Inputs sheet)</t>
  </si>
  <si>
    <t xml:space="preserve">  • Each skill pays in its own output for the tier; Hacking pays in the tier's caches; System pays in mined items,</t>
  </si>
  <si>
    <t xml:space="preserve">    except VM Windows and Scheduler, which cost VM tokens. Capstones also cost 2 of one of the tier's rare items,</t>
  </si>
  <si>
    <t xml:space="preserve">    spread so each rare type is used by 1-2 groups (see 'Rare Demand').</t>
  </si>
  <si>
    <t xml:space="preserve">  • One skill's 10 installs in a tier = 2h of solo running at Tier 1, x1.1 per tier (~3.2h solo at Tier 6);</t>
  </si>
  <si>
    <t xml:space="preserve">    roughly 1-2h for a player keeping a VM on that skill. 'Tier Totals' checks every group/tier against the target.</t>
  </si>
  <si>
    <t xml:space="preserve">  • Rare chance: Decoding base 10% -&gt; 4% at L1 and +0.04%/level (~8% at L99); Efficiency is relative (+20% of its own at max, ~9.5%); Rare Tracker adds up to +1.5% per dry cache of that type.</t>
  </si>
  <si>
    <t xml:space="preserve">    Game values: CACHE 'efficiency' 0.1 -&gt; 0.04, 'efficiency rate' 0.001 -&gt; 0.0004.</t>
  </si>
  <si>
    <t xml:space="preserve">BAIT LOOP (decided) — fixes the cache basics flood and the SQL Injector gap together</t>
  </si>
  <si>
    <t xml:space="preserve">  • Loop: Hack -&gt; caches -&gt; Decode -&gt; basics -&gt; bait -&gt; Phish -&gt; SQL Injectors -&gt; Hack.</t>
  </si>
  <si>
    <t xml:space="preserve">  • Bait: each cast uses 10 of the item (was 1) and doubles the catch, on top of the bite-chance boost.</t>
  </si>
  <si>
    <t xml:space="preserve">  • Check (Tier 1, measured rates): ~3,300 Logs/h used as bait vs ~3,000/h from hacking + decoding;</t>
  </si>
  <si>
    <t xml:space="preserve">    ~600 SQL Injectors/h with bait vs ~570/h used by nonstop Student hacking.</t>
  </si>
  <si>
    <t xml:space="preserve">  • Logs from caches now have a competing use, so they're no longer free currency for Mining/Parsing upgrades.</t>
  </si>
  <si>
    <t xml:space="preserve">  • Re-measured with bait (L10 Spear): 217/h unbaited, 445/h baited, but bait burns ~6.5k Logs/h vs ~3k/h coming in,</t>
  </si>
  <si>
    <t xml:space="preserve">    so bait is on ~46% of the time: ~320/h blended. The Inputs rate stays 330/h.</t>
  </si>
  <si>
    <t xml:space="preserve">OPEN FOR YOU TO CUT/ADD</t>
  </si>
  <si>
    <t xml:space="preserve">  • Rename any Pointed/Capstone. Change the 10-slot mix per group. Retune every value and cost in 'All Upgrades'.</t>
  </si>
  <si>
    <t xml:space="preserve">  • Capstones for groups other than Hacking are placeholders ('MAJOR: ...') — name them when you like the mix.</t>
  </si>
  <si>
    <t xml:space="preserve">Max anonymity options (edit the blue inputs)</t>
  </si>
  <si>
    <t xml:space="preserve">Base anonymity</t>
  </si>
  <si>
    <t xml:space="preserve">Per Hacking level</t>
  </si>
  <si>
    <t xml:space="preserve">Per tier unlocked (hybrid only)</t>
  </si>
  <si>
    <t xml:space="preserve">Typical Hacking level at tier entry</t>
  </si>
  <si>
    <t xml:space="preserve">First target counter dmg</t>
  </si>
  <si>
    <t xml:space="preserve">Toughest target counter dmg</t>
  </si>
  <si>
    <t xml:space="preserve">Level only: max anon</t>
  </si>
  <si>
    <t xml:space="preserve">Hits to trace (first target)</t>
  </si>
  <si>
    <t xml:space="preserve">Hybrid: max anon</t>
  </si>
  <si>
    <t xml:space="preserve">max</t>
  </si>
  <si>
    <t xml:space="preserve">Hits to trace = max anonymity / the tier's first easy target's counter damage (no damage reduction, no spoofs).</t>
  </si>
  <si>
    <t xml:space="preserve">Tier 1 today: 100 / 5 = 20 hits. Hybrid keeps later tiers close to that feel; level-only lets them get steadily deadlier.</t>
  </si>
  <si>
    <t xml:space="preserve">Packet Spoof healing is now % of max anonymity (table below), so it follows this curve.</t>
  </si>
  <si>
    <t xml:space="preserve">Packet Spoof healing (% of max anonymity)</t>
  </si>
  <si>
    <t xml:space="preserve">Base heal %</t>
  </si>
  <si>
    <t xml:space="preserve">Heal % per tier upgrade</t>
  </si>
  <si>
    <t xml:space="preserve">Spoof every (s)</t>
  </si>
  <si>
    <t xml:space="preserve">Counter every (s), first target</t>
  </si>
  <si>
    <t xml:space="preserve">Heal % (with that tier's upgrade)</t>
  </si>
  <si>
    <t xml:space="preserve">Heal per spoof (hybrid anon)</t>
  </si>
  <si>
    <t xml:space="preserve">Heal/s</t>
  </si>
  <si>
    <t xml:space="preserve">Incoming dmg/s</t>
  </si>
  <si>
    <t xml:space="preserve">Sustain ratio (heal / incoming)</t>
  </si>
  <si>
    <t xml:space="preserve">Sustain ratio 1.0 = spoofs out-heal the tier's weakest target exactly. Today (Tier 1, flat 5): 0.5. Toughest targets hit ~2.4x harder.</t>
  </si>
  <si>
    <t xml:space="preserve">Hacking mods (Restore) and Booster Shot stay as they are: mods add flat restore, Booster Shot doubles the whole heal.</t>
  </si>
  <si>
    <t xml:space="preserve">Currency (sum of 10 installs)</t>
  </si>
  <si>
    <t xml:space="preserve">Hours of solo running it represents</t>
  </si>
  <si>
    <t xml:space="preserve">Hours = currency / (items per hour x in-tier speed). Should equal Inputs!B4 x Inputs!B5^(tier-1).</t>
  </si>
  <si>
    <t xml:space="preserve">Rare item</t>
  </si>
  <si>
    <t xml:space="preserve">Used by capstone of</t>
  </si>
  <si>
    <t xml:space="preserve">Capstone need</t>
  </si>
  <si>
    <t xml:space="preserve">Upload goal</t>
  </si>
  <si>
    <t xml:space="preserve">Total needed</t>
  </si>
  <si>
    <t xml:space="preserve">Caches per rare at 4% (L1)</t>
  </si>
  <si>
    <t xml:space="preserve">At 8% (L99)</t>
  </si>
  <si>
    <t xml:space="preserve">At 12% (max)</t>
  </si>
  <si>
    <t xml:space="preserve">Caches columns = caches you'd decode to collect that rare's total need at each rare chance.</t>
  </si>
  <si>
    <t xml:space="preserve">System, Phishing</t>
  </si>
  <si>
    <t xml:space="preserve">Mining, Decoding</t>
  </si>
  <si>
    <t xml:space="preserve">Parsing, Compiling</t>
  </si>
  <si>
    <t xml:space="preserve">Cracking, Hacking</t>
  </si>
  <si>
    <t xml:space="preserve">Installs/tier</t>
  </si>
  <si>
    <t xml:space="preserve">Tiers</t>
  </si>
  <si>
    <t xml:space="preserve">Total installs</t>
  </si>
  <si>
    <t xml:space="preserve">Final version</t>
  </si>
  <si>
    <t xml:space="preserve">TOTAL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</si>
</sst>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.0"/>
    <numFmt numFmtId="167" formatCode="0%"/>
    <numFmt numFmtId="168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2E"/>
        <bgColor rgb="FF333300"/>
      </patternFill>
    </fill>
    <fill>
      <patternFill patternType="solid">
        <fgColor rgb="FFE6F0FF"/>
        <bgColor rgb="FFFF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A2E"/>
          <bgColor rgb="FF000000"/>
        </patternFill>
      </fill>
    </dxf>
    <dxf>
      <fill>
        <patternFill patternType="solid">
          <fgColor rgb="FFE6F0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6F0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9"/>
    <col collapsed="false" customWidth="true" hidden="false" outlineLevel="0" max="7" min="7" style="0" width="22"/>
    <col collapsed="false" customWidth="true" hidden="false" outlineLevel="0" max="8" min="8" style="0" width="40"/>
    <col collapsed="false" customWidth="true" hidden="false" outlineLevel="0" max="9" min="9" style="0" width="16"/>
    <col collapsed="false" customWidth="true" hidden="false" outlineLevel="0" max="10" min="10" style="0" width="24"/>
    <col collapsed="false" customWidth="true" hidden="false" outlineLevel="0" max="11" min="11" style="0" width="30"/>
    <col collapsed="false" customWidth="true" hidden="false" outlineLevel="0" max="12" min="12" style="0" width="10"/>
    <col collapsed="false" customWidth="true" hidden="false" outlineLevel="0" max="13" min="13" style="0" width="26"/>
    <col collapsed="false" customWidth="true" hidden="false" outlineLevel="0" max="14" min="14" style="0" width="7"/>
    <col collapsed="false" customWidth="true" hidden="false" outlineLevel="0" max="15" min="15" style="0" width="10"/>
    <col collapsed="false" customWidth="true" hidden="false" outlineLevel="0" max="16" min="16" style="0" width="36"/>
    <col collapsed="false" customWidth="true" hidden="false" outlineLevel="0" max="17" min="17" style="0" width="26"/>
    <col collapsed="false" customWidth="true" hidden="false" outlineLevel="0" max="18" min="18" style="0" width="10"/>
    <col collapsed="false" customWidth="true" hidden="false" outlineLevel="0" max="19" min="19" style="0" width="2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2" t="s">
        <v>19</v>
      </c>
      <c r="B2" s="2" t="n">
        <v>1</v>
      </c>
      <c r="C2" s="2" t="s">
        <v>20</v>
      </c>
      <c r="D2" s="2" t="n">
        <v>1</v>
      </c>
      <c r="E2" s="2" t="s">
        <v>21</v>
      </c>
      <c r="F2" s="2" t="s">
        <v>22</v>
      </c>
      <c r="G2" s="2" t="s">
        <v>23</v>
      </c>
      <c r="H2" s="3" t="s">
        <v>24</v>
      </c>
      <c r="I2" s="2" t="s">
        <v>25</v>
      </c>
      <c r="J2" s="2" t="s">
        <v>26</v>
      </c>
      <c r="K2" s="3" t="s">
        <v>27</v>
      </c>
      <c r="L2" s="2" t="n">
        <f aca="false">MAX(1,ROUND(0.3*Inputs!$B$4*Inputs!$B$5^(B2-1)*INDEX(Inputs!$C$15:$C$23,MATCH("mining",Inputs!$A$15:$A$23,0))*Inputs!$B$7*Inputs!$B$6^(D2-1)/Inputs!$B$12,0))</f>
        <v>21</v>
      </c>
      <c r="M2" s="2"/>
      <c r="N2" s="2"/>
      <c r="O2" s="2" t="s">
        <v>28</v>
      </c>
      <c r="P2" s="3"/>
      <c r="Q2" s="2" t="s">
        <v>29</v>
      </c>
      <c r="R2" s="2" t="n">
        <v>0.3</v>
      </c>
      <c r="S2" s="2" t="s">
        <v>30</v>
      </c>
    </row>
    <row r="3" customFormat="false" ht="23.85" hidden="false" customHeight="false" outlineLevel="0" collapsed="false">
      <c r="A3" s="2" t="s">
        <v>19</v>
      </c>
      <c r="B3" s="2" t="n">
        <v>1</v>
      </c>
      <c r="C3" s="2" t="s">
        <v>20</v>
      </c>
      <c r="D3" s="2" t="n">
        <v>2</v>
      </c>
      <c r="E3" s="2" t="s">
        <v>31</v>
      </c>
      <c r="F3" s="2" t="s">
        <v>22</v>
      </c>
      <c r="G3" s="2" t="s">
        <v>32</v>
      </c>
      <c r="H3" s="3" t="s">
        <v>33</v>
      </c>
      <c r="I3" s="2" t="s">
        <v>34</v>
      </c>
      <c r="J3" s="2" t="s">
        <v>35</v>
      </c>
      <c r="K3" s="3" t="s">
        <v>27</v>
      </c>
      <c r="L3" s="2" t="n">
        <f aca="false">MAX(1,ROUND(0.3*Inputs!$B$4*Inputs!$B$5^(B3-1)*INDEX(Inputs!$C$15:$C$23,MATCH("mining",Inputs!$A$15:$A$23,0))*Inputs!$B$7*Inputs!$B$6^(D3-1)/Inputs!$B$12,0))</f>
        <v>24</v>
      </c>
      <c r="M3" s="2"/>
      <c r="N3" s="2"/>
      <c r="O3" s="2" t="s">
        <v>28</v>
      </c>
      <c r="P3" s="3"/>
      <c r="Q3" s="2" t="s">
        <v>36</v>
      </c>
      <c r="R3" s="2" t="n">
        <v>0.05</v>
      </c>
      <c r="S3" s="2" t="s">
        <v>37</v>
      </c>
    </row>
    <row r="4" customFormat="false" ht="15" hidden="false" customHeight="false" outlineLevel="0" collapsed="false">
      <c r="A4" s="2" t="s">
        <v>19</v>
      </c>
      <c r="B4" s="2" t="n">
        <v>1</v>
      </c>
      <c r="C4" s="2" t="s">
        <v>20</v>
      </c>
      <c r="D4" s="2" t="n">
        <v>3</v>
      </c>
      <c r="E4" s="2" t="s">
        <v>38</v>
      </c>
      <c r="F4" s="2" t="s">
        <v>22</v>
      </c>
      <c r="G4" s="2" t="s">
        <v>39</v>
      </c>
      <c r="H4" s="3" t="s">
        <v>40</v>
      </c>
      <c r="I4" s="2" t="s">
        <v>41</v>
      </c>
      <c r="J4" s="2" t="s">
        <v>42</v>
      </c>
      <c r="K4" s="3" t="s">
        <v>43</v>
      </c>
      <c r="L4" s="2" t="n">
        <f aca="false">MAX(1,ROUND(0.1*Inputs!$B$9*Inputs!$B$10^(B4-1),0))</f>
        <v>1</v>
      </c>
      <c r="M4" s="2"/>
      <c r="N4" s="2"/>
      <c r="O4" s="2" t="s">
        <v>44</v>
      </c>
      <c r="P4" s="3"/>
      <c r="Q4" s="2" t="s">
        <v>45</v>
      </c>
      <c r="R4" s="2" t="n">
        <v>1</v>
      </c>
      <c r="S4" s="2" t="s">
        <v>46</v>
      </c>
    </row>
    <row r="5" customFormat="false" ht="23.85" hidden="false" customHeight="false" outlineLevel="0" collapsed="false">
      <c r="A5" s="2" t="s">
        <v>19</v>
      </c>
      <c r="B5" s="2" t="n">
        <v>1</v>
      </c>
      <c r="C5" s="2" t="s">
        <v>20</v>
      </c>
      <c r="D5" s="2" t="n">
        <v>4</v>
      </c>
      <c r="E5" s="2" t="s">
        <v>47</v>
      </c>
      <c r="F5" s="2" t="s">
        <v>22</v>
      </c>
      <c r="G5" s="2" t="s">
        <v>48</v>
      </c>
      <c r="H5" s="3" t="s">
        <v>49</v>
      </c>
      <c r="I5" s="2" t="s">
        <v>50</v>
      </c>
      <c r="J5" s="2" t="s">
        <v>51</v>
      </c>
      <c r="K5" s="3" t="s">
        <v>27</v>
      </c>
      <c r="L5" s="2" t="n">
        <f aca="false">MAX(1,ROUND(0.3*Inputs!$B$4*Inputs!$B$5^(B5-1)*INDEX(Inputs!$C$15:$C$23,MATCH("mining",Inputs!$A$15:$A$23,0))*Inputs!$B$7*Inputs!$B$6^(D5-1)/Inputs!$B$12,0))</f>
        <v>32</v>
      </c>
      <c r="M5" s="2"/>
      <c r="N5" s="2"/>
      <c r="O5" s="2" t="s">
        <v>28</v>
      </c>
      <c r="P5" s="3"/>
      <c r="Q5" s="2" t="s">
        <v>52</v>
      </c>
      <c r="R5" s="2" t="n">
        <v>2</v>
      </c>
      <c r="S5" s="2" t="s">
        <v>53</v>
      </c>
    </row>
    <row r="6" customFormat="false" ht="15" hidden="false" customHeight="false" outlineLevel="0" collapsed="false">
      <c r="A6" s="2" t="s">
        <v>19</v>
      </c>
      <c r="B6" s="2" t="n">
        <v>1</v>
      </c>
      <c r="C6" s="2" t="s">
        <v>20</v>
      </c>
      <c r="D6" s="2" t="n">
        <v>5</v>
      </c>
      <c r="E6" s="2" t="s">
        <v>54</v>
      </c>
      <c r="F6" s="2" t="s">
        <v>22</v>
      </c>
      <c r="G6" s="2" t="s">
        <v>48</v>
      </c>
      <c r="H6" s="3" t="s">
        <v>55</v>
      </c>
      <c r="I6" s="2" t="s">
        <v>50</v>
      </c>
      <c r="J6" s="2" t="s">
        <v>56</v>
      </c>
      <c r="K6" s="3" t="s">
        <v>27</v>
      </c>
      <c r="L6" s="2" t="n">
        <f aca="false">MAX(1,ROUND(0.3*Inputs!$B$4*Inputs!$B$5^(B6-1)*INDEX(Inputs!$C$15:$C$23,MATCH("mining",Inputs!$A$15:$A$23,0))*Inputs!$B$7*Inputs!$B$6^(D6-1)/Inputs!$B$12,0))</f>
        <v>37</v>
      </c>
      <c r="M6" s="2"/>
      <c r="N6" s="2"/>
      <c r="O6" s="2" t="s">
        <v>28</v>
      </c>
      <c r="P6" s="3"/>
      <c r="Q6" s="2" t="s">
        <v>52</v>
      </c>
      <c r="R6" s="2" t="n">
        <v>2</v>
      </c>
      <c r="S6" s="2" t="s">
        <v>51</v>
      </c>
    </row>
    <row r="7" customFormat="false" ht="15" hidden="false" customHeight="false" outlineLevel="0" collapsed="false">
      <c r="A7" s="2" t="s">
        <v>19</v>
      </c>
      <c r="B7" s="2" t="n">
        <v>1</v>
      </c>
      <c r="C7" s="2" t="s">
        <v>20</v>
      </c>
      <c r="D7" s="2" t="n">
        <v>6</v>
      </c>
      <c r="E7" s="2" t="s">
        <v>57</v>
      </c>
      <c r="F7" s="2" t="s">
        <v>22</v>
      </c>
      <c r="G7" s="2" t="s">
        <v>58</v>
      </c>
      <c r="H7" s="3" t="s">
        <v>59</v>
      </c>
      <c r="I7" s="2" t="s">
        <v>60</v>
      </c>
      <c r="J7" s="2" t="s">
        <v>61</v>
      </c>
      <c r="K7" s="3" t="s">
        <v>27</v>
      </c>
      <c r="L7" s="2" t="n">
        <f aca="false">MAX(1,ROUND(0.3*Inputs!$B$4*Inputs!$B$5^(B7-1)*INDEX(Inputs!$C$15:$C$23,MATCH("mining",Inputs!$A$15:$A$23,0))*Inputs!$B$7*Inputs!$B$6^(D7-1)/Inputs!$B$12,0))</f>
        <v>42</v>
      </c>
      <c r="M7" s="2"/>
      <c r="N7" s="2"/>
      <c r="O7" s="2" t="s">
        <v>28</v>
      </c>
      <c r="P7" s="3"/>
      <c r="Q7" s="2" t="s">
        <v>62</v>
      </c>
      <c r="R7" s="2" t="n">
        <v>2.5</v>
      </c>
      <c r="S7" s="2" t="s">
        <v>63</v>
      </c>
    </row>
    <row r="8" customFormat="false" ht="23.85" hidden="false" customHeight="false" outlineLevel="0" collapsed="false">
      <c r="A8" s="2" t="s">
        <v>19</v>
      </c>
      <c r="B8" s="2" t="n">
        <v>1</v>
      </c>
      <c r="C8" s="2" t="s">
        <v>20</v>
      </c>
      <c r="D8" s="2" t="n">
        <v>7</v>
      </c>
      <c r="E8" s="2" t="s">
        <v>64</v>
      </c>
      <c r="F8" s="2" t="s">
        <v>22</v>
      </c>
      <c r="G8" s="2" t="s">
        <v>65</v>
      </c>
      <c r="H8" s="3" t="s">
        <v>66</v>
      </c>
      <c r="I8" s="2" t="s">
        <v>67</v>
      </c>
      <c r="J8" s="2" t="s">
        <v>68</v>
      </c>
      <c r="K8" s="3" t="s">
        <v>27</v>
      </c>
      <c r="L8" s="2" t="n">
        <f aca="false">MAX(1,ROUND(0.3*Inputs!$B$4*Inputs!$B$5^(B8-1)*INDEX(Inputs!$C$15:$C$23,MATCH("mining",Inputs!$A$15:$A$23,0))*Inputs!$B$7*Inputs!$B$6^(D8-1)/Inputs!$B$12,0))</f>
        <v>49</v>
      </c>
      <c r="M8" s="2"/>
      <c r="N8" s="2"/>
      <c r="O8" s="2" t="s">
        <v>28</v>
      </c>
      <c r="P8" s="3"/>
      <c r="Q8" s="2" t="s">
        <v>69</v>
      </c>
      <c r="R8" s="2" t="n">
        <v>2.5</v>
      </c>
      <c r="S8" s="2" t="s">
        <v>70</v>
      </c>
    </row>
    <row r="9" customFormat="false" ht="23.85" hidden="false" customHeight="false" outlineLevel="0" collapsed="false">
      <c r="A9" s="4" t="s">
        <v>19</v>
      </c>
      <c r="B9" s="4" t="n">
        <v>1</v>
      </c>
      <c r="C9" s="4" t="s">
        <v>20</v>
      </c>
      <c r="D9" s="4" t="n">
        <v>8</v>
      </c>
      <c r="E9" s="4" t="s">
        <v>71</v>
      </c>
      <c r="F9" s="4" t="s">
        <v>72</v>
      </c>
      <c r="G9" s="4" t="s">
        <v>73</v>
      </c>
      <c r="H9" s="5" t="s">
        <v>74</v>
      </c>
      <c r="I9" s="4" t="s">
        <v>75</v>
      </c>
      <c r="J9" s="4" t="s">
        <v>76</v>
      </c>
      <c r="K9" s="5" t="s">
        <v>27</v>
      </c>
      <c r="L9" s="4" t="n">
        <f aca="false">MAX(1,ROUND(0.3*Inputs!$B$4*Inputs!$B$5^(B9-1)*INDEX(Inputs!$C$15:$C$23,MATCH("mining",Inputs!$A$15:$A$23,0))*Inputs!$B$7*Inputs!$B$6^(D9-1)/Inputs!$B$12,0))</f>
        <v>56</v>
      </c>
      <c r="M9" s="4"/>
      <c r="N9" s="4"/>
      <c r="O9" s="4" t="s">
        <v>28</v>
      </c>
      <c r="P9" s="5"/>
      <c r="Q9" s="4" t="s">
        <v>77</v>
      </c>
      <c r="R9" s="4" t="n">
        <v>0.05</v>
      </c>
      <c r="S9" s="4" t="s">
        <v>78</v>
      </c>
    </row>
    <row r="10" customFormat="false" ht="15" hidden="false" customHeight="false" outlineLevel="0" collapsed="false">
      <c r="A10" s="4" t="s">
        <v>19</v>
      </c>
      <c r="B10" s="4" t="n">
        <v>1</v>
      </c>
      <c r="C10" s="4" t="s">
        <v>20</v>
      </c>
      <c r="D10" s="4" t="n">
        <v>9</v>
      </c>
      <c r="E10" s="4" t="s">
        <v>79</v>
      </c>
      <c r="F10" s="4" t="s">
        <v>72</v>
      </c>
      <c r="G10" s="4" t="s">
        <v>80</v>
      </c>
      <c r="H10" s="5" t="s">
        <v>81</v>
      </c>
      <c r="I10" s="4" t="s">
        <v>82</v>
      </c>
      <c r="J10" s="4" t="s">
        <v>83</v>
      </c>
      <c r="K10" s="5" t="s">
        <v>43</v>
      </c>
      <c r="L10" s="4" t="n">
        <f aca="false">MAX(1,ROUND(0.1*Inputs!$B$9*Inputs!$B$10^(B10-1),0))</f>
        <v>1</v>
      </c>
      <c r="M10" s="4"/>
      <c r="N10" s="4"/>
      <c r="O10" s="4" t="s">
        <v>44</v>
      </c>
      <c r="P10" s="5"/>
      <c r="Q10" s="4" t="s">
        <v>84</v>
      </c>
      <c r="R10" s="4" t="n">
        <v>0.1</v>
      </c>
      <c r="S10" s="4" t="s">
        <v>85</v>
      </c>
    </row>
    <row r="11" customFormat="false" ht="23.85" hidden="false" customHeight="false" outlineLevel="0" collapsed="false">
      <c r="A11" s="6" t="s">
        <v>19</v>
      </c>
      <c r="B11" s="6" t="n">
        <v>1</v>
      </c>
      <c r="C11" s="6" t="s">
        <v>20</v>
      </c>
      <c r="D11" s="6" t="n">
        <v>10</v>
      </c>
      <c r="E11" s="6" t="s">
        <v>86</v>
      </c>
      <c r="F11" s="6" t="s">
        <v>87</v>
      </c>
      <c r="G11" s="6" t="s">
        <v>88</v>
      </c>
      <c r="H11" s="7" t="s">
        <v>89</v>
      </c>
      <c r="I11" s="6" t="s">
        <v>90</v>
      </c>
      <c r="J11" s="6"/>
      <c r="K11" s="7" t="s">
        <v>27</v>
      </c>
      <c r="L11" s="6" t="n">
        <f aca="false">MAX(1,ROUND(0.3*Inputs!$B$4*Inputs!$B$5^(B11-1)*INDEX(Inputs!$C$15:$C$23,MATCH("mining",Inputs!$A$15:$A$23,0))*Inputs!$B$7*Inputs!$B$6^(D11-1)/Inputs!$B$12,0))</f>
        <v>74</v>
      </c>
      <c r="M11" s="6" t="s">
        <v>91</v>
      </c>
      <c r="N11" s="6" t="n">
        <v>1</v>
      </c>
      <c r="O11" s="6" t="s">
        <v>28</v>
      </c>
      <c r="P11" s="7"/>
      <c r="Q11" s="6" t="s">
        <v>92</v>
      </c>
      <c r="R11" s="8" t="b">
        <f aca="false">TRUE()</f>
        <v>1</v>
      </c>
      <c r="S11" s="6" t="s">
        <v>93</v>
      </c>
    </row>
    <row r="12" customFormat="false" ht="15" hidden="false" customHeight="false" outlineLevel="0" collapsed="false">
      <c r="A12" s="2" t="s">
        <v>19</v>
      </c>
      <c r="B12" s="2" t="n">
        <v>2</v>
      </c>
      <c r="C12" s="2" t="s">
        <v>94</v>
      </c>
      <c r="D12" s="2" t="n">
        <v>1</v>
      </c>
      <c r="E12" s="2" t="s">
        <v>95</v>
      </c>
      <c r="F12" s="2" t="s">
        <v>22</v>
      </c>
      <c r="G12" s="2" t="s">
        <v>23</v>
      </c>
      <c r="H12" s="3" t="s">
        <v>24</v>
      </c>
      <c r="I12" s="2" t="s">
        <v>96</v>
      </c>
      <c r="J12" s="2" t="s">
        <v>97</v>
      </c>
      <c r="K12" s="3" t="s">
        <v>98</v>
      </c>
      <c r="L12" s="2" t="n">
        <f aca="false">MAX(1,ROUND(0.7*Inputs!$B$4*Inputs!$B$5^(B12-1)*INDEX(Inputs!$C$15:$C$23,MATCH("mining",Inputs!$A$15:$A$23,0))*Inputs!$B$7*Inputs!$B$6^(D12-1)/Inputs!$B$12,0))</f>
        <v>54</v>
      </c>
      <c r="M12" s="2"/>
      <c r="N12" s="2"/>
      <c r="O12" s="2" t="s">
        <v>28</v>
      </c>
      <c r="P12" s="3"/>
      <c r="Q12" s="2" t="s">
        <v>29</v>
      </c>
      <c r="R12" s="2" t="n">
        <v>0.35</v>
      </c>
      <c r="S12" s="2" t="s">
        <v>26</v>
      </c>
    </row>
    <row r="13" customFormat="false" ht="23.85" hidden="false" customHeight="false" outlineLevel="0" collapsed="false">
      <c r="A13" s="2" t="s">
        <v>19</v>
      </c>
      <c r="B13" s="2" t="n">
        <v>2</v>
      </c>
      <c r="C13" s="2" t="s">
        <v>94</v>
      </c>
      <c r="D13" s="2" t="n">
        <v>2</v>
      </c>
      <c r="E13" s="2" t="s">
        <v>99</v>
      </c>
      <c r="F13" s="2" t="s">
        <v>22</v>
      </c>
      <c r="G13" s="2" t="s">
        <v>32</v>
      </c>
      <c r="H13" s="3" t="s">
        <v>33</v>
      </c>
      <c r="I13" s="2" t="s">
        <v>34</v>
      </c>
      <c r="J13" s="2" t="s">
        <v>100</v>
      </c>
      <c r="K13" s="3" t="s">
        <v>98</v>
      </c>
      <c r="L13" s="2" t="n">
        <f aca="false">MAX(1,ROUND(0.7*Inputs!$B$4*Inputs!$B$5^(B13-1)*INDEX(Inputs!$C$15:$C$23,MATCH("mining",Inputs!$A$15:$A$23,0))*Inputs!$B$7*Inputs!$B$6^(D13-1)/Inputs!$B$12,0))</f>
        <v>62</v>
      </c>
      <c r="M13" s="2"/>
      <c r="N13" s="2"/>
      <c r="O13" s="2" t="s">
        <v>28</v>
      </c>
      <c r="P13" s="3"/>
      <c r="Q13" s="2" t="s">
        <v>36</v>
      </c>
      <c r="R13" s="2" t="n">
        <v>0.05</v>
      </c>
      <c r="S13" s="2" t="s">
        <v>35</v>
      </c>
    </row>
    <row r="14" customFormat="false" ht="15" hidden="false" customHeight="false" outlineLevel="0" collapsed="false">
      <c r="A14" s="2" t="s">
        <v>19</v>
      </c>
      <c r="B14" s="2" t="n">
        <v>2</v>
      </c>
      <c r="C14" s="2" t="s">
        <v>94</v>
      </c>
      <c r="D14" s="2" t="n">
        <v>3</v>
      </c>
      <c r="E14" s="2" t="s">
        <v>101</v>
      </c>
      <c r="F14" s="2" t="s">
        <v>22</v>
      </c>
      <c r="G14" s="2" t="s">
        <v>39</v>
      </c>
      <c r="H14" s="3" t="s">
        <v>40</v>
      </c>
      <c r="I14" s="2" t="s">
        <v>41</v>
      </c>
      <c r="J14" s="2" t="s">
        <v>102</v>
      </c>
      <c r="K14" s="3" t="s">
        <v>43</v>
      </c>
      <c r="L14" s="2" t="n">
        <f aca="false">MAX(1,ROUND(0.7*Inputs!$B$9*Inputs!$B$10^(B14-1),0))</f>
        <v>11</v>
      </c>
      <c r="M14" s="2"/>
      <c r="N14" s="2"/>
      <c r="O14" s="2" t="s">
        <v>44</v>
      </c>
      <c r="P14" s="3"/>
      <c r="Q14" s="2" t="s">
        <v>45</v>
      </c>
      <c r="R14" s="2" t="n">
        <v>1</v>
      </c>
      <c r="S14" s="2" t="s">
        <v>42</v>
      </c>
    </row>
    <row r="15" customFormat="false" ht="23.85" hidden="false" customHeight="false" outlineLevel="0" collapsed="false">
      <c r="A15" s="2" t="s">
        <v>19</v>
      </c>
      <c r="B15" s="2" t="n">
        <v>2</v>
      </c>
      <c r="C15" s="2" t="s">
        <v>94</v>
      </c>
      <c r="D15" s="2" t="n">
        <v>4</v>
      </c>
      <c r="E15" s="2" t="s">
        <v>103</v>
      </c>
      <c r="F15" s="2" t="s">
        <v>22</v>
      </c>
      <c r="G15" s="2" t="s">
        <v>48</v>
      </c>
      <c r="H15" s="3" t="s">
        <v>49</v>
      </c>
      <c r="I15" s="2" t="s">
        <v>50</v>
      </c>
      <c r="J15" s="2" t="s">
        <v>104</v>
      </c>
      <c r="K15" s="3" t="s">
        <v>98</v>
      </c>
      <c r="L15" s="2" t="n">
        <f aca="false">MAX(1,ROUND(0.7*Inputs!$B$4*Inputs!$B$5^(B15-1)*INDEX(Inputs!$C$15:$C$23,MATCH("mining",Inputs!$A$15:$A$23,0))*Inputs!$B$7*Inputs!$B$6^(D15-1)/Inputs!$B$12,0))</f>
        <v>82</v>
      </c>
      <c r="M15" s="2"/>
      <c r="N15" s="2"/>
      <c r="O15" s="2" t="s">
        <v>28</v>
      </c>
      <c r="P15" s="3"/>
      <c r="Q15" s="2" t="s">
        <v>52</v>
      </c>
      <c r="R15" s="2" t="n">
        <v>2</v>
      </c>
      <c r="S15" s="2" t="s">
        <v>56</v>
      </c>
    </row>
    <row r="16" customFormat="false" ht="15" hidden="false" customHeight="false" outlineLevel="0" collapsed="false">
      <c r="A16" s="2" t="s">
        <v>19</v>
      </c>
      <c r="B16" s="2" t="n">
        <v>2</v>
      </c>
      <c r="C16" s="2" t="s">
        <v>94</v>
      </c>
      <c r="D16" s="2" t="n">
        <v>5</v>
      </c>
      <c r="E16" s="2" t="s">
        <v>105</v>
      </c>
      <c r="F16" s="2" t="s">
        <v>22</v>
      </c>
      <c r="G16" s="2" t="s">
        <v>48</v>
      </c>
      <c r="H16" s="3" t="s">
        <v>55</v>
      </c>
      <c r="I16" s="2" t="s">
        <v>50</v>
      </c>
      <c r="J16" s="2" t="s">
        <v>106</v>
      </c>
      <c r="K16" s="3" t="s">
        <v>98</v>
      </c>
      <c r="L16" s="2" t="n">
        <f aca="false">MAX(1,ROUND(0.7*Inputs!$B$4*Inputs!$B$5^(B16-1)*INDEX(Inputs!$C$15:$C$23,MATCH("mining",Inputs!$A$15:$A$23,0))*Inputs!$B$7*Inputs!$B$6^(D16-1)/Inputs!$B$12,0))</f>
        <v>95</v>
      </c>
      <c r="M16" s="2"/>
      <c r="N16" s="2"/>
      <c r="O16" s="2" t="s">
        <v>28</v>
      </c>
      <c r="P16" s="3"/>
      <c r="Q16" s="2" t="s">
        <v>52</v>
      </c>
      <c r="R16" s="2" t="n">
        <v>2</v>
      </c>
      <c r="S16" s="2" t="s">
        <v>104</v>
      </c>
    </row>
    <row r="17" customFormat="false" ht="15" hidden="false" customHeight="false" outlineLevel="0" collapsed="false">
      <c r="A17" s="2" t="s">
        <v>19</v>
      </c>
      <c r="B17" s="2" t="n">
        <v>2</v>
      </c>
      <c r="C17" s="2" t="s">
        <v>94</v>
      </c>
      <c r="D17" s="2" t="n">
        <v>6</v>
      </c>
      <c r="E17" s="2" t="s">
        <v>107</v>
      </c>
      <c r="F17" s="2" t="s">
        <v>22</v>
      </c>
      <c r="G17" s="2" t="s">
        <v>58</v>
      </c>
      <c r="H17" s="3" t="s">
        <v>59</v>
      </c>
      <c r="I17" s="2" t="s">
        <v>60</v>
      </c>
      <c r="J17" s="2" t="s">
        <v>108</v>
      </c>
      <c r="K17" s="3" t="s">
        <v>98</v>
      </c>
      <c r="L17" s="2" t="n">
        <f aca="false">MAX(1,ROUND(0.7*Inputs!$B$4*Inputs!$B$5^(B17-1)*INDEX(Inputs!$C$15:$C$23,MATCH("mining",Inputs!$A$15:$A$23,0))*Inputs!$B$7*Inputs!$B$6^(D17-1)/Inputs!$B$12,0))</f>
        <v>109</v>
      </c>
      <c r="M17" s="2"/>
      <c r="N17" s="2"/>
      <c r="O17" s="2" t="s">
        <v>28</v>
      </c>
      <c r="P17" s="3"/>
      <c r="Q17" s="2" t="s">
        <v>62</v>
      </c>
      <c r="R17" s="2" t="n">
        <v>2.5</v>
      </c>
      <c r="S17" s="2" t="s">
        <v>61</v>
      </c>
    </row>
    <row r="18" customFormat="false" ht="23.85" hidden="false" customHeight="false" outlineLevel="0" collapsed="false">
      <c r="A18" s="2" t="s">
        <v>19</v>
      </c>
      <c r="B18" s="2" t="n">
        <v>2</v>
      </c>
      <c r="C18" s="2" t="s">
        <v>94</v>
      </c>
      <c r="D18" s="2" t="n">
        <v>7</v>
      </c>
      <c r="E18" s="2" t="s">
        <v>109</v>
      </c>
      <c r="F18" s="2" t="s">
        <v>22</v>
      </c>
      <c r="G18" s="2" t="s">
        <v>65</v>
      </c>
      <c r="H18" s="3" t="s">
        <v>66</v>
      </c>
      <c r="I18" s="2" t="s">
        <v>67</v>
      </c>
      <c r="J18" s="2" t="s">
        <v>110</v>
      </c>
      <c r="K18" s="3" t="s">
        <v>98</v>
      </c>
      <c r="L18" s="2" t="n">
        <f aca="false">MAX(1,ROUND(0.7*Inputs!$B$4*Inputs!$B$5^(B18-1)*INDEX(Inputs!$C$15:$C$23,MATCH("mining",Inputs!$A$15:$A$23,0))*Inputs!$B$7*Inputs!$B$6^(D18-1)/Inputs!$B$12,0))</f>
        <v>125</v>
      </c>
      <c r="M18" s="2"/>
      <c r="N18" s="2"/>
      <c r="O18" s="2" t="s">
        <v>28</v>
      </c>
      <c r="P18" s="3"/>
      <c r="Q18" s="2" t="s">
        <v>69</v>
      </c>
      <c r="R18" s="2" t="n">
        <v>2.5</v>
      </c>
      <c r="S18" s="2" t="s">
        <v>68</v>
      </c>
    </row>
    <row r="19" customFormat="false" ht="23.85" hidden="false" customHeight="false" outlineLevel="0" collapsed="false">
      <c r="A19" s="4" t="s">
        <v>19</v>
      </c>
      <c r="B19" s="4" t="n">
        <v>2</v>
      </c>
      <c r="C19" s="4" t="s">
        <v>94</v>
      </c>
      <c r="D19" s="4" t="n">
        <v>8</v>
      </c>
      <c r="E19" s="4" t="s">
        <v>111</v>
      </c>
      <c r="F19" s="4" t="s">
        <v>72</v>
      </c>
      <c r="G19" s="4" t="s">
        <v>73</v>
      </c>
      <c r="H19" s="5" t="s">
        <v>74</v>
      </c>
      <c r="I19" s="4" t="s">
        <v>75</v>
      </c>
      <c r="J19" s="4" t="s">
        <v>112</v>
      </c>
      <c r="K19" s="5" t="s">
        <v>98</v>
      </c>
      <c r="L19" s="4" t="n">
        <f aca="false">MAX(1,ROUND(0.7*Inputs!$B$4*Inputs!$B$5^(B19-1)*INDEX(Inputs!$C$15:$C$23,MATCH("mining",Inputs!$A$15:$A$23,0))*Inputs!$B$7*Inputs!$B$6^(D19-1)/Inputs!$B$12,0))</f>
        <v>144</v>
      </c>
      <c r="M19" s="4"/>
      <c r="N19" s="4"/>
      <c r="O19" s="4" t="s">
        <v>28</v>
      </c>
      <c r="P19" s="5"/>
      <c r="Q19" s="4" t="s">
        <v>77</v>
      </c>
      <c r="R19" s="4" t="n">
        <v>0.03</v>
      </c>
      <c r="S19" s="4" t="s">
        <v>76</v>
      </c>
    </row>
    <row r="20" customFormat="false" ht="15" hidden="false" customHeight="false" outlineLevel="0" collapsed="false">
      <c r="A20" s="4" t="s">
        <v>19</v>
      </c>
      <c r="B20" s="4" t="n">
        <v>2</v>
      </c>
      <c r="C20" s="4" t="s">
        <v>94</v>
      </c>
      <c r="D20" s="4" t="n">
        <v>9</v>
      </c>
      <c r="E20" s="4" t="s">
        <v>113</v>
      </c>
      <c r="F20" s="4" t="s">
        <v>72</v>
      </c>
      <c r="G20" s="4" t="s">
        <v>80</v>
      </c>
      <c r="H20" s="5" t="s">
        <v>81</v>
      </c>
      <c r="I20" s="4" t="s">
        <v>82</v>
      </c>
      <c r="J20" s="4" t="s">
        <v>114</v>
      </c>
      <c r="K20" s="5" t="s">
        <v>43</v>
      </c>
      <c r="L20" s="4" t="n">
        <f aca="false">MAX(1,ROUND(0.7*Inputs!$B$9*Inputs!$B$10^(B20-1),0))</f>
        <v>11</v>
      </c>
      <c r="M20" s="4"/>
      <c r="N20" s="4"/>
      <c r="O20" s="4" t="s">
        <v>44</v>
      </c>
      <c r="P20" s="5"/>
      <c r="Q20" s="4" t="s">
        <v>84</v>
      </c>
      <c r="R20" s="4" t="n">
        <v>0.1</v>
      </c>
      <c r="S20" s="4" t="s">
        <v>83</v>
      </c>
    </row>
    <row r="21" customFormat="false" ht="15" hidden="false" customHeight="false" outlineLevel="0" collapsed="false">
      <c r="A21" s="6" t="s">
        <v>19</v>
      </c>
      <c r="B21" s="6" t="n">
        <v>2</v>
      </c>
      <c r="C21" s="6" t="s">
        <v>94</v>
      </c>
      <c r="D21" s="6" t="n">
        <v>10</v>
      </c>
      <c r="E21" s="6" t="s">
        <v>115</v>
      </c>
      <c r="F21" s="6" t="s">
        <v>87</v>
      </c>
      <c r="G21" s="6" t="s">
        <v>116</v>
      </c>
      <c r="H21" s="7" t="s">
        <v>117</v>
      </c>
      <c r="I21" s="6" t="s">
        <v>90</v>
      </c>
      <c r="J21" s="6"/>
      <c r="K21" s="7" t="s">
        <v>98</v>
      </c>
      <c r="L21" s="6" t="n">
        <f aca="false">MAX(1,ROUND(0.7*Inputs!$B$4*Inputs!$B$5^(B21-1)*INDEX(Inputs!$C$15:$C$23,MATCH("mining",Inputs!$A$15:$A$23,0))*Inputs!$B$7*Inputs!$B$6^(D21-1)/Inputs!$B$12,0))</f>
        <v>190</v>
      </c>
      <c r="M21" s="6" t="s">
        <v>118</v>
      </c>
      <c r="N21" s="6" t="n">
        <v>1</v>
      </c>
      <c r="O21" s="6" t="s">
        <v>28</v>
      </c>
      <c r="P21" s="7"/>
      <c r="Q21" s="6" t="s">
        <v>119</v>
      </c>
      <c r="R21" s="8" t="b">
        <f aca="false">TRUE()</f>
        <v>1</v>
      </c>
      <c r="S21" s="6" t="s">
        <v>93</v>
      </c>
    </row>
    <row r="22" customFormat="false" ht="15" hidden="false" customHeight="false" outlineLevel="0" collapsed="false">
      <c r="A22" s="2" t="s">
        <v>19</v>
      </c>
      <c r="B22" s="2" t="n">
        <v>3</v>
      </c>
      <c r="C22" s="2" t="s">
        <v>120</v>
      </c>
      <c r="D22" s="2" t="n">
        <v>1</v>
      </c>
      <c r="E22" s="2" t="s">
        <v>121</v>
      </c>
      <c r="F22" s="2" t="s">
        <v>22</v>
      </c>
      <c r="G22" s="2" t="s">
        <v>23</v>
      </c>
      <c r="H22" s="3" t="s">
        <v>24</v>
      </c>
      <c r="I22" s="2" t="s">
        <v>122</v>
      </c>
      <c r="J22" s="2" t="s">
        <v>123</v>
      </c>
      <c r="K22" s="3" t="s">
        <v>124</v>
      </c>
      <c r="L22" s="2" t="n">
        <f aca="false">MAX(1,ROUND(0.85*Inputs!$B$4*Inputs!$B$5^(B22-1)*INDEX(Inputs!$C$15:$C$23,MATCH("mining",Inputs!$A$15:$A$23,0))*Inputs!$B$7*Inputs!$B$6^(D22-1)/Inputs!$B$12,0))</f>
        <v>72</v>
      </c>
      <c r="M22" s="2"/>
      <c r="N22" s="2"/>
      <c r="O22" s="2" t="s">
        <v>28</v>
      </c>
      <c r="P22" s="3"/>
      <c r="Q22" s="2" t="s">
        <v>29</v>
      </c>
      <c r="R22" s="2" t="n">
        <v>0.55</v>
      </c>
      <c r="S22" s="2" t="s">
        <v>97</v>
      </c>
    </row>
    <row r="23" customFormat="false" ht="23.85" hidden="false" customHeight="false" outlineLevel="0" collapsed="false">
      <c r="A23" s="2" t="s">
        <v>19</v>
      </c>
      <c r="B23" s="2" t="n">
        <v>3</v>
      </c>
      <c r="C23" s="2" t="s">
        <v>120</v>
      </c>
      <c r="D23" s="2" t="n">
        <v>2</v>
      </c>
      <c r="E23" s="2" t="s">
        <v>125</v>
      </c>
      <c r="F23" s="2" t="s">
        <v>22</v>
      </c>
      <c r="G23" s="2" t="s">
        <v>32</v>
      </c>
      <c r="H23" s="3" t="s">
        <v>33</v>
      </c>
      <c r="I23" s="2" t="s">
        <v>34</v>
      </c>
      <c r="J23" s="2" t="s">
        <v>126</v>
      </c>
      <c r="K23" s="3" t="s">
        <v>124</v>
      </c>
      <c r="L23" s="2" t="n">
        <f aca="false">MAX(1,ROUND(0.85*Inputs!$B$4*Inputs!$B$5^(B23-1)*INDEX(Inputs!$C$15:$C$23,MATCH("mining",Inputs!$A$15:$A$23,0))*Inputs!$B$7*Inputs!$B$6^(D23-1)/Inputs!$B$12,0))</f>
        <v>83</v>
      </c>
      <c r="M23" s="2"/>
      <c r="N23" s="2"/>
      <c r="O23" s="2" t="s">
        <v>28</v>
      </c>
      <c r="P23" s="3"/>
      <c r="Q23" s="2" t="s">
        <v>36</v>
      </c>
      <c r="R23" s="2" t="n">
        <v>0.05</v>
      </c>
      <c r="S23" s="2" t="s">
        <v>100</v>
      </c>
    </row>
    <row r="24" customFormat="false" ht="15" hidden="false" customHeight="false" outlineLevel="0" collapsed="false">
      <c r="A24" s="2" t="s">
        <v>19</v>
      </c>
      <c r="B24" s="2" t="n">
        <v>3</v>
      </c>
      <c r="C24" s="2" t="s">
        <v>120</v>
      </c>
      <c r="D24" s="2" t="n">
        <v>3</v>
      </c>
      <c r="E24" s="2" t="s">
        <v>127</v>
      </c>
      <c r="F24" s="2" t="s">
        <v>22</v>
      </c>
      <c r="G24" s="2" t="s">
        <v>39</v>
      </c>
      <c r="H24" s="3" t="s">
        <v>40</v>
      </c>
      <c r="I24" s="2" t="s">
        <v>41</v>
      </c>
      <c r="J24" s="2" t="s">
        <v>128</v>
      </c>
      <c r="K24" s="3" t="s">
        <v>43</v>
      </c>
      <c r="L24" s="2" t="n">
        <f aca="false">MAX(1,ROUND(0.85*Inputs!$B$9*Inputs!$B$10^(B24-1),0))</f>
        <v>19</v>
      </c>
      <c r="M24" s="2"/>
      <c r="N24" s="2"/>
      <c r="O24" s="2" t="s">
        <v>44</v>
      </c>
      <c r="P24" s="3"/>
      <c r="Q24" s="2" t="s">
        <v>45</v>
      </c>
      <c r="R24" s="2" t="n">
        <v>1</v>
      </c>
      <c r="S24" s="2" t="s">
        <v>102</v>
      </c>
    </row>
    <row r="25" customFormat="false" ht="23.85" hidden="false" customHeight="false" outlineLevel="0" collapsed="false">
      <c r="A25" s="2" t="s">
        <v>19</v>
      </c>
      <c r="B25" s="2" t="n">
        <v>3</v>
      </c>
      <c r="C25" s="2" t="s">
        <v>120</v>
      </c>
      <c r="D25" s="2" t="n">
        <v>4</v>
      </c>
      <c r="E25" s="2" t="s">
        <v>129</v>
      </c>
      <c r="F25" s="2" t="s">
        <v>22</v>
      </c>
      <c r="G25" s="2" t="s">
        <v>48</v>
      </c>
      <c r="H25" s="3" t="s">
        <v>49</v>
      </c>
      <c r="I25" s="2" t="s">
        <v>50</v>
      </c>
      <c r="J25" s="2" t="s">
        <v>130</v>
      </c>
      <c r="K25" s="3" t="s">
        <v>124</v>
      </c>
      <c r="L25" s="2" t="n">
        <f aca="false">MAX(1,ROUND(0.85*Inputs!$B$4*Inputs!$B$5^(B25-1)*INDEX(Inputs!$C$15:$C$23,MATCH("mining",Inputs!$A$15:$A$23,0))*Inputs!$B$7*Inputs!$B$6^(D25-1)/Inputs!$B$12,0))</f>
        <v>110</v>
      </c>
      <c r="M25" s="2"/>
      <c r="N25" s="2"/>
      <c r="O25" s="2" t="s">
        <v>28</v>
      </c>
      <c r="P25" s="3"/>
      <c r="Q25" s="2" t="s">
        <v>52</v>
      </c>
      <c r="R25" s="2" t="n">
        <v>2</v>
      </c>
      <c r="S25" s="2" t="s">
        <v>106</v>
      </c>
    </row>
    <row r="26" customFormat="false" ht="15" hidden="false" customHeight="false" outlineLevel="0" collapsed="false">
      <c r="A26" s="2" t="s">
        <v>19</v>
      </c>
      <c r="B26" s="2" t="n">
        <v>3</v>
      </c>
      <c r="C26" s="2" t="s">
        <v>120</v>
      </c>
      <c r="D26" s="2" t="n">
        <v>5</v>
      </c>
      <c r="E26" s="2" t="s">
        <v>131</v>
      </c>
      <c r="F26" s="2" t="s">
        <v>22</v>
      </c>
      <c r="G26" s="2" t="s">
        <v>48</v>
      </c>
      <c r="H26" s="3" t="s">
        <v>55</v>
      </c>
      <c r="I26" s="2" t="s">
        <v>50</v>
      </c>
      <c r="J26" s="2" t="s">
        <v>132</v>
      </c>
      <c r="K26" s="3" t="s">
        <v>124</v>
      </c>
      <c r="L26" s="2" t="n">
        <f aca="false">MAX(1,ROUND(0.85*Inputs!$B$4*Inputs!$B$5^(B26-1)*INDEX(Inputs!$C$15:$C$23,MATCH("mining",Inputs!$A$15:$A$23,0))*Inputs!$B$7*Inputs!$B$6^(D26-1)/Inputs!$B$12,0))</f>
        <v>126</v>
      </c>
      <c r="M26" s="2"/>
      <c r="N26" s="2"/>
      <c r="O26" s="2" t="s">
        <v>28</v>
      </c>
      <c r="P26" s="3"/>
      <c r="Q26" s="2" t="s">
        <v>52</v>
      </c>
      <c r="R26" s="2" t="n">
        <v>2</v>
      </c>
      <c r="S26" s="2" t="s">
        <v>130</v>
      </c>
    </row>
    <row r="27" customFormat="false" ht="15" hidden="false" customHeight="false" outlineLevel="0" collapsed="false">
      <c r="A27" s="2" t="s">
        <v>19</v>
      </c>
      <c r="B27" s="2" t="n">
        <v>3</v>
      </c>
      <c r="C27" s="2" t="s">
        <v>120</v>
      </c>
      <c r="D27" s="2" t="n">
        <v>6</v>
      </c>
      <c r="E27" s="2" t="s">
        <v>133</v>
      </c>
      <c r="F27" s="2" t="s">
        <v>22</v>
      </c>
      <c r="G27" s="2" t="s">
        <v>58</v>
      </c>
      <c r="H27" s="3" t="s">
        <v>59</v>
      </c>
      <c r="I27" s="2" t="s">
        <v>60</v>
      </c>
      <c r="J27" s="2" t="s">
        <v>134</v>
      </c>
      <c r="K27" s="3" t="s">
        <v>124</v>
      </c>
      <c r="L27" s="2" t="n">
        <f aca="false">MAX(1,ROUND(0.85*Inputs!$B$4*Inputs!$B$5^(B27-1)*INDEX(Inputs!$C$15:$C$23,MATCH("mining",Inputs!$A$15:$A$23,0))*Inputs!$B$7*Inputs!$B$6^(D27-1)/Inputs!$B$12,0))</f>
        <v>145</v>
      </c>
      <c r="M27" s="2"/>
      <c r="N27" s="2"/>
      <c r="O27" s="2" t="s">
        <v>28</v>
      </c>
      <c r="P27" s="3"/>
      <c r="Q27" s="2" t="s">
        <v>62</v>
      </c>
      <c r="R27" s="2" t="n">
        <v>2.5</v>
      </c>
      <c r="S27" s="2" t="s">
        <v>108</v>
      </c>
    </row>
    <row r="28" customFormat="false" ht="23.85" hidden="false" customHeight="false" outlineLevel="0" collapsed="false">
      <c r="A28" s="2" t="s">
        <v>19</v>
      </c>
      <c r="B28" s="2" t="n">
        <v>3</v>
      </c>
      <c r="C28" s="2" t="s">
        <v>120</v>
      </c>
      <c r="D28" s="2" t="n">
        <v>7</v>
      </c>
      <c r="E28" s="2" t="s">
        <v>135</v>
      </c>
      <c r="F28" s="2" t="s">
        <v>22</v>
      </c>
      <c r="G28" s="2" t="s">
        <v>65</v>
      </c>
      <c r="H28" s="3" t="s">
        <v>66</v>
      </c>
      <c r="I28" s="2" t="s">
        <v>67</v>
      </c>
      <c r="J28" s="2" t="s">
        <v>136</v>
      </c>
      <c r="K28" s="3" t="s">
        <v>124</v>
      </c>
      <c r="L28" s="2" t="n">
        <f aca="false">MAX(1,ROUND(0.85*Inputs!$B$4*Inputs!$B$5^(B28-1)*INDEX(Inputs!$C$15:$C$23,MATCH("mining",Inputs!$A$15:$A$23,0))*Inputs!$B$7*Inputs!$B$6^(D28-1)/Inputs!$B$12,0))</f>
        <v>167</v>
      </c>
      <c r="M28" s="2"/>
      <c r="N28" s="2"/>
      <c r="O28" s="2" t="s">
        <v>28</v>
      </c>
      <c r="P28" s="3"/>
      <c r="Q28" s="2" t="s">
        <v>69</v>
      </c>
      <c r="R28" s="2" t="n">
        <v>2.5</v>
      </c>
      <c r="S28" s="2" t="s">
        <v>110</v>
      </c>
    </row>
    <row r="29" customFormat="false" ht="23.85" hidden="false" customHeight="false" outlineLevel="0" collapsed="false">
      <c r="A29" s="4" t="s">
        <v>19</v>
      </c>
      <c r="B29" s="4" t="n">
        <v>3</v>
      </c>
      <c r="C29" s="4" t="s">
        <v>120</v>
      </c>
      <c r="D29" s="4" t="n">
        <v>8</v>
      </c>
      <c r="E29" s="4" t="s">
        <v>137</v>
      </c>
      <c r="F29" s="4" t="s">
        <v>72</v>
      </c>
      <c r="G29" s="4" t="s">
        <v>73</v>
      </c>
      <c r="H29" s="5" t="s">
        <v>74</v>
      </c>
      <c r="I29" s="4" t="s">
        <v>75</v>
      </c>
      <c r="J29" s="4" t="s">
        <v>138</v>
      </c>
      <c r="K29" s="5" t="s">
        <v>124</v>
      </c>
      <c r="L29" s="4" t="n">
        <f aca="false">MAX(1,ROUND(0.85*Inputs!$B$4*Inputs!$B$5^(B29-1)*INDEX(Inputs!$C$15:$C$23,MATCH("mining",Inputs!$A$15:$A$23,0))*Inputs!$B$7*Inputs!$B$6^(D29-1)/Inputs!$B$12,0))</f>
        <v>192</v>
      </c>
      <c r="M29" s="4"/>
      <c r="N29" s="4"/>
      <c r="O29" s="4" t="s">
        <v>28</v>
      </c>
      <c r="P29" s="5"/>
      <c r="Q29" s="4" t="s">
        <v>77</v>
      </c>
      <c r="R29" s="4" t="n">
        <v>0.03</v>
      </c>
      <c r="S29" s="4" t="s">
        <v>112</v>
      </c>
    </row>
    <row r="30" customFormat="false" ht="15" hidden="false" customHeight="false" outlineLevel="0" collapsed="false">
      <c r="A30" s="4" t="s">
        <v>19</v>
      </c>
      <c r="B30" s="4" t="n">
        <v>3</v>
      </c>
      <c r="C30" s="4" t="s">
        <v>120</v>
      </c>
      <c r="D30" s="4" t="n">
        <v>9</v>
      </c>
      <c r="E30" s="4" t="s">
        <v>139</v>
      </c>
      <c r="F30" s="4" t="s">
        <v>72</v>
      </c>
      <c r="G30" s="4" t="s">
        <v>80</v>
      </c>
      <c r="H30" s="5" t="s">
        <v>81</v>
      </c>
      <c r="I30" s="4" t="s">
        <v>82</v>
      </c>
      <c r="J30" s="4" t="s">
        <v>140</v>
      </c>
      <c r="K30" s="5" t="s">
        <v>43</v>
      </c>
      <c r="L30" s="4" t="n">
        <f aca="false">MAX(1,ROUND(0.85*Inputs!$B$9*Inputs!$B$10^(B30-1),0))</f>
        <v>19</v>
      </c>
      <c r="M30" s="4"/>
      <c r="N30" s="4"/>
      <c r="O30" s="4" t="s">
        <v>44</v>
      </c>
      <c r="P30" s="5"/>
      <c r="Q30" s="4" t="s">
        <v>84</v>
      </c>
      <c r="R30" s="4" t="n">
        <v>0.1</v>
      </c>
      <c r="S30" s="4" t="s">
        <v>114</v>
      </c>
    </row>
    <row r="31" customFormat="false" ht="15" hidden="false" customHeight="false" outlineLevel="0" collapsed="false">
      <c r="A31" s="6" t="s">
        <v>19</v>
      </c>
      <c r="B31" s="6" t="n">
        <v>3</v>
      </c>
      <c r="C31" s="6" t="s">
        <v>120</v>
      </c>
      <c r="D31" s="6" t="n">
        <v>10</v>
      </c>
      <c r="E31" s="6" t="s">
        <v>141</v>
      </c>
      <c r="F31" s="6" t="s">
        <v>87</v>
      </c>
      <c r="G31" s="6" t="s">
        <v>142</v>
      </c>
      <c r="H31" s="7" t="s">
        <v>143</v>
      </c>
      <c r="I31" s="6" t="s">
        <v>90</v>
      </c>
      <c r="J31" s="6"/>
      <c r="K31" s="7" t="s">
        <v>124</v>
      </c>
      <c r="L31" s="6" t="n">
        <f aca="false">MAX(1,ROUND(0.85*Inputs!$B$4*Inputs!$B$5^(B31-1)*INDEX(Inputs!$C$15:$C$23,MATCH("mining",Inputs!$A$15:$A$23,0))*Inputs!$B$7*Inputs!$B$6^(D31-1)/Inputs!$B$12,0))</f>
        <v>254</v>
      </c>
      <c r="M31" s="6" t="s">
        <v>144</v>
      </c>
      <c r="N31" s="6" t="n">
        <v>2</v>
      </c>
      <c r="O31" s="6" t="s">
        <v>28</v>
      </c>
      <c r="P31" s="7"/>
      <c r="Q31" s="6" t="s">
        <v>145</v>
      </c>
      <c r="R31" s="8" t="b">
        <f aca="false">TRUE()</f>
        <v>1</v>
      </c>
      <c r="S31" s="6" t="s">
        <v>93</v>
      </c>
    </row>
    <row r="32" customFormat="false" ht="15" hidden="false" customHeight="false" outlineLevel="0" collapsed="false">
      <c r="A32" s="2" t="s">
        <v>19</v>
      </c>
      <c r="B32" s="2" t="n">
        <v>4</v>
      </c>
      <c r="C32" s="2" t="s">
        <v>146</v>
      </c>
      <c r="D32" s="2" t="n">
        <v>1</v>
      </c>
      <c r="E32" s="2" t="s">
        <v>147</v>
      </c>
      <c r="F32" s="2" t="s">
        <v>22</v>
      </c>
      <c r="G32" s="2" t="s">
        <v>23</v>
      </c>
      <c r="H32" s="3" t="s">
        <v>24</v>
      </c>
      <c r="I32" s="2" t="s">
        <v>148</v>
      </c>
      <c r="J32" s="2" t="s">
        <v>149</v>
      </c>
      <c r="K32" s="3" t="s">
        <v>150</v>
      </c>
      <c r="L32" s="2" t="n">
        <f aca="false">MAX(1,ROUND(0.75*Inputs!$B$4*Inputs!$B$5^(B32-1)*INDEX(Inputs!$C$15:$C$23,MATCH("mining",Inputs!$A$15:$A$23,0))*Inputs!$B$7*Inputs!$B$6^(D32-1)/Inputs!$B$12,0))</f>
        <v>70</v>
      </c>
      <c r="M32" s="2"/>
      <c r="N32" s="2"/>
      <c r="O32" s="2" t="s">
        <v>28</v>
      </c>
      <c r="P32" s="3"/>
      <c r="Q32" s="2" t="s">
        <v>29</v>
      </c>
      <c r="R32" s="2" t="n">
        <v>0.7</v>
      </c>
      <c r="S32" s="2" t="s">
        <v>123</v>
      </c>
    </row>
    <row r="33" customFormat="false" ht="23.85" hidden="false" customHeight="false" outlineLevel="0" collapsed="false">
      <c r="A33" s="2" t="s">
        <v>19</v>
      </c>
      <c r="B33" s="2" t="n">
        <v>4</v>
      </c>
      <c r="C33" s="2" t="s">
        <v>146</v>
      </c>
      <c r="D33" s="2" t="n">
        <v>2</v>
      </c>
      <c r="E33" s="2" t="s">
        <v>151</v>
      </c>
      <c r="F33" s="2" t="s">
        <v>22</v>
      </c>
      <c r="G33" s="2" t="s">
        <v>32</v>
      </c>
      <c r="H33" s="3" t="s">
        <v>33</v>
      </c>
      <c r="I33" s="2" t="s">
        <v>34</v>
      </c>
      <c r="J33" s="2" t="s">
        <v>152</v>
      </c>
      <c r="K33" s="3" t="s">
        <v>150</v>
      </c>
      <c r="L33" s="2" t="n">
        <f aca="false">MAX(1,ROUND(0.75*Inputs!$B$4*Inputs!$B$5^(B33-1)*INDEX(Inputs!$C$15:$C$23,MATCH("mining",Inputs!$A$15:$A$23,0))*Inputs!$B$7*Inputs!$B$6^(D33-1)/Inputs!$B$12,0))</f>
        <v>81</v>
      </c>
      <c r="M33" s="2"/>
      <c r="N33" s="2"/>
      <c r="O33" s="2" t="s">
        <v>28</v>
      </c>
      <c r="P33" s="3"/>
      <c r="Q33" s="2" t="s">
        <v>36</v>
      </c>
      <c r="R33" s="2" t="n">
        <v>0.05</v>
      </c>
      <c r="S33" s="2" t="s">
        <v>126</v>
      </c>
    </row>
    <row r="34" customFormat="false" ht="15" hidden="false" customHeight="false" outlineLevel="0" collapsed="false">
      <c r="A34" s="2" t="s">
        <v>19</v>
      </c>
      <c r="B34" s="2" t="n">
        <v>4</v>
      </c>
      <c r="C34" s="2" t="s">
        <v>146</v>
      </c>
      <c r="D34" s="2" t="n">
        <v>3</v>
      </c>
      <c r="E34" s="2" t="s">
        <v>153</v>
      </c>
      <c r="F34" s="2" t="s">
        <v>22</v>
      </c>
      <c r="G34" s="2" t="s">
        <v>39</v>
      </c>
      <c r="H34" s="3" t="s">
        <v>40</v>
      </c>
      <c r="I34" s="2" t="s">
        <v>41</v>
      </c>
      <c r="J34" s="2" t="s">
        <v>154</v>
      </c>
      <c r="K34" s="3" t="s">
        <v>43</v>
      </c>
      <c r="L34" s="2" t="n">
        <f aca="false">MAX(1,ROUND(0.75*Inputs!$B$9*Inputs!$B$10^(B34-1),0))</f>
        <v>25</v>
      </c>
      <c r="M34" s="2"/>
      <c r="N34" s="2"/>
      <c r="O34" s="2" t="s">
        <v>44</v>
      </c>
      <c r="P34" s="3"/>
      <c r="Q34" s="2" t="s">
        <v>45</v>
      </c>
      <c r="R34" s="2" t="n">
        <v>1</v>
      </c>
      <c r="S34" s="2" t="s">
        <v>128</v>
      </c>
    </row>
    <row r="35" customFormat="false" ht="23.85" hidden="false" customHeight="false" outlineLevel="0" collapsed="false">
      <c r="A35" s="2" t="s">
        <v>19</v>
      </c>
      <c r="B35" s="2" t="n">
        <v>4</v>
      </c>
      <c r="C35" s="2" t="s">
        <v>146</v>
      </c>
      <c r="D35" s="2" t="n">
        <v>4</v>
      </c>
      <c r="E35" s="2" t="s">
        <v>155</v>
      </c>
      <c r="F35" s="2" t="s">
        <v>22</v>
      </c>
      <c r="G35" s="2" t="s">
        <v>48</v>
      </c>
      <c r="H35" s="3" t="s">
        <v>49</v>
      </c>
      <c r="I35" s="2" t="s">
        <v>50</v>
      </c>
      <c r="J35" s="2" t="s">
        <v>156</v>
      </c>
      <c r="K35" s="3" t="s">
        <v>150</v>
      </c>
      <c r="L35" s="2" t="n">
        <f aca="false">MAX(1,ROUND(0.75*Inputs!$B$4*Inputs!$B$5^(B35-1)*INDEX(Inputs!$C$15:$C$23,MATCH("mining",Inputs!$A$15:$A$23,0))*Inputs!$B$7*Inputs!$B$6^(D35-1)/Inputs!$B$12,0))</f>
        <v>107</v>
      </c>
      <c r="M35" s="2"/>
      <c r="N35" s="2"/>
      <c r="O35" s="2" t="s">
        <v>28</v>
      </c>
      <c r="P35" s="3"/>
      <c r="Q35" s="2" t="s">
        <v>52</v>
      </c>
      <c r="R35" s="2" t="n">
        <v>2</v>
      </c>
      <c r="S35" s="2" t="s">
        <v>132</v>
      </c>
    </row>
    <row r="36" customFormat="false" ht="15" hidden="false" customHeight="false" outlineLevel="0" collapsed="false">
      <c r="A36" s="2" t="s">
        <v>19</v>
      </c>
      <c r="B36" s="2" t="n">
        <v>4</v>
      </c>
      <c r="C36" s="2" t="s">
        <v>146</v>
      </c>
      <c r="D36" s="2" t="n">
        <v>5</v>
      </c>
      <c r="E36" s="2" t="s">
        <v>157</v>
      </c>
      <c r="F36" s="2" t="s">
        <v>22</v>
      </c>
      <c r="G36" s="2" t="s">
        <v>48</v>
      </c>
      <c r="H36" s="3" t="s">
        <v>55</v>
      </c>
      <c r="I36" s="2" t="s">
        <v>50</v>
      </c>
      <c r="J36" s="2" t="s">
        <v>158</v>
      </c>
      <c r="K36" s="3" t="s">
        <v>150</v>
      </c>
      <c r="L36" s="2" t="n">
        <f aca="false">MAX(1,ROUND(0.75*Inputs!$B$4*Inputs!$B$5^(B36-1)*INDEX(Inputs!$C$15:$C$23,MATCH("mining",Inputs!$A$15:$A$23,0))*Inputs!$B$7*Inputs!$B$6^(D36-1)/Inputs!$B$12,0))</f>
        <v>123</v>
      </c>
      <c r="M36" s="2"/>
      <c r="N36" s="2"/>
      <c r="O36" s="2" t="s">
        <v>28</v>
      </c>
      <c r="P36" s="3"/>
      <c r="Q36" s="2" t="s">
        <v>52</v>
      </c>
      <c r="R36" s="2" t="n">
        <v>2</v>
      </c>
      <c r="S36" s="2" t="s">
        <v>156</v>
      </c>
    </row>
    <row r="37" customFormat="false" ht="15" hidden="false" customHeight="false" outlineLevel="0" collapsed="false">
      <c r="A37" s="2" t="s">
        <v>19</v>
      </c>
      <c r="B37" s="2" t="n">
        <v>4</v>
      </c>
      <c r="C37" s="2" t="s">
        <v>146</v>
      </c>
      <c r="D37" s="2" t="n">
        <v>6</v>
      </c>
      <c r="E37" s="2" t="s">
        <v>159</v>
      </c>
      <c r="F37" s="2" t="s">
        <v>22</v>
      </c>
      <c r="G37" s="2" t="s">
        <v>58</v>
      </c>
      <c r="H37" s="3" t="s">
        <v>59</v>
      </c>
      <c r="I37" s="2" t="s">
        <v>60</v>
      </c>
      <c r="J37" s="2" t="s">
        <v>160</v>
      </c>
      <c r="K37" s="3" t="s">
        <v>150</v>
      </c>
      <c r="L37" s="2" t="n">
        <f aca="false">MAX(1,ROUND(0.75*Inputs!$B$4*Inputs!$B$5^(B37-1)*INDEX(Inputs!$C$15:$C$23,MATCH("mining",Inputs!$A$15:$A$23,0))*Inputs!$B$7*Inputs!$B$6^(D37-1)/Inputs!$B$12,0))</f>
        <v>141</v>
      </c>
      <c r="M37" s="2"/>
      <c r="N37" s="2"/>
      <c r="O37" s="2" t="s">
        <v>28</v>
      </c>
      <c r="P37" s="3"/>
      <c r="Q37" s="2" t="s">
        <v>62</v>
      </c>
      <c r="R37" s="2" t="n">
        <v>2.5</v>
      </c>
      <c r="S37" s="2" t="s">
        <v>134</v>
      </c>
    </row>
    <row r="38" customFormat="false" ht="23.85" hidden="false" customHeight="false" outlineLevel="0" collapsed="false">
      <c r="A38" s="2" t="s">
        <v>19</v>
      </c>
      <c r="B38" s="2" t="n">
        <v>4</v>
      </c>
      <c r="C38" s="2" t="s">
        <v>146</v>
      </c>
      <c r="D38" s="2" t="n">
        <v>7</v>
      </c>
      <c r="E38" s="2" t="s">
        <v>161</v>
      </c>
      <c r="F38" s="2" t="s">
        <v>22</v>
      </c>
      <c r="G38" s="2" t="s">
        <v>65</v>
      </c>
      <c r="H38" s="3" t="s">
        <v>66</v>
      </c>
      <c r="I38" s="2" t="s">
        <v>67</v>
      </c>
      <c r="J38" s="2" t="s">
        <v>162</v>
      </c>
      <c r="K38" s="3" t="s">
        <v>150</v>
      </c>
      <c r="L38" s="2" t="n">
        <f aca="false">MAX(1,ROUND(0.75*Inputs!$B$4*Inputs!$B$5^(B38-1)*INDEX(Inputs!$C$15:$C$23,MATCH("mining",Inputs!$A$15:$A$23,0))*Inputs!$B$7*Inputs!$B$6^(D38-1)/Inputs!$B$12,0))</f>
        <v>162</v>
      </c>
      <c r="M38" s="2"/>
      <c r="N38" s="2"/>
      <c r="O38" s="2" t="s">
        <v>28</v>
      </c>
      <c r="P38" s="3"/>
      <c r="Q38" s="2" t="s">
        <v>69</v>
      </c>
      <c r="R38" s="2" t="n">
        <v>2.5</v>
      </c>
      <c r="S38" s="2" t="s">
        <v>136</v>
      </c>
    </row>
    <row r="39" customFormat="false" ht="23.85" hidden="false" customHeight="false" outlineLevel="0" collapsed="false">
      <c r="A39" s="4" t="s">
        <v>19</v>
      </c>
      <c r="B39" s="4" t="n">
        <v>4</v>
      </c>
      <c r="C39" s="4" t="s">
        <v>146</v>
      </c>
      <c r="D39" s="4" t="n">
        <v>8</v>
      </c>
      <c r="E39" s="4" t="s">
        <v>163</v>
      </c>
      <c r="F39" s="4" t="s">
        <v>72</v>
      </c>
      <c r="G39" s="4" t="s">
        <v>73</v>
      </c>
      <c r="H39" s="5" t="s">
        <v>74</v>
      </c>
      <c r="I39" s="4" t="s">
        <v>75</v>
      </c>
      <c r="J39" s="4" t="s">
        <v>164</v>
      </c>
      <c r="K39" s="5" t="s">
        <v>150</v>
      </c>
      <c r="L39" s="4" t="n">
        <f aca="false">MAX(1,ROUND(0.75*Inputs!$B$4*Inputs!$B$5^(B39-1)*INDEX(Inputs!$C$15:$C$23,MATCH("mining",Inputs!$A$15:$A$23,0))*Inputs!$B$7*Inputs!$B$6^(D39-1)/Inputs!$B$12,0))</f>
        <v>186</v>
      </c>
      <c r="M39" s="4"/>
      <c r="N39" s="4"/>
      <c r="O39" s="4" t="s">
        <v>28</v>
      </c>
      <c r="P39" s="5"/>
      <c r="Q39" s="4" t="s">
        <v>77</v>
      </c>
      <c r="R39" s="4" t="n">
        <v>0.03</v>
      </c>
      <c r="S39" s="4" t="s">
        <v>138</v>
      </c>
    </row>
    <row r="40" customFormat="false" ht="15" hidden="false" customHeight="false" outlineLevel="0" collapsed="false">
      <c r="A40" s="4" t="s">
        <v>19</v>
      </c>
      <c r="B40" s="4" t="n">
        <v>4</v>
      </c>
      <c r="C40" s="4" t="s">
        <v>146</v>
      </c>
      <c r="D40" s="4" t="n">
        <v>9</v>
      </c>
      <c r="E40" s="4" t="s">
        <v>165</v>
      </c>
      <c r="F40" s="4" t="s">
        <v>72</v>
      </c>
      <c r="G40" s="4" t="s">
        <v>80</v>
      </c>
      <c r="H40" s="5" t="s">
        <v>81</v>
      </c>
      <c r="I40" s="4" t="s">
        <v>82</v>
      </c>
      <c r="J40" s="4" t="s">
        <v>166</v>
      </c>
      <c r="K40" s="5" t="s">
        <v>43</v>
      </c>
      <c r="L40" s="4" t="n">
        <f aca="false">MAX(1,ROUND(0.75*Inputs!$B$9*Inputs!$B$10^(B40-1),0))</f>
        <v>25</v>
      </c>
      <c r="M40" s="4"/>
      <c r="N40" s="4"/>
      <c r="O40" s="4" t="s">
        <v>44</v>
      </c>
      <c r="P40" s="5"/>
      <c r="Q40" s="4" t="s">
        <v>84</v>
      </c>
      <c r="R40" s="4" t="n">
        <v>0.1</v>
      </c>
      <c r="S40" s="4" t="s">
        <v>140</v>
      </c>
    </row>
    <row r="41" customFormat="false" ht="15" hidden="false" customHeight="false" outlineLevel="0" collapsed="false">
      <c r="A41" s="6" t="s">
        <v>19</v>
      </c>
      <c r="B41" s="6" t="n">
        <v>4</v>
      </c>
      <c r="C41" s="6" t="s">
        <v>146</v>
      </c>
      <c r="D41" s="6" t="n">
        <v>10</v>
      </c>
      <c r="E41" s="6" t="s">
        <v>167</v>
      </c>
      <c r="F41" s="6" t="s">
        <v>87</v>
      </c>
      <c r="G41" s="6" t="s">
        <v>168</v>
      </c>
      <c r="H41" s="7" t="s">
        <v>169</v>
      </c>
      <c r="I41" s="6" t="s">
        <v>90</v>
      </c>
      <c r="J41" s="6"/>
      <c r="K41" s="7" t="s">
        <v>150</v>
      </c>
      <c r="L41" s="6" t="n">
        <f aca="false">MAX(1,ROUND(0.75*Inputs!$B$4*Inputs!$B$5^(B41-1)*INDEX(Inputs!$C$15:$C$23,MATCH("mining",Inputs!$A$15:$A$23,0))*Inputs!$B$7*Inputs!$B$6^(D41-1)/Inputs!$B$12,0))</f>
        <v>246</v>
      </c>
      <c r="M41" s="6" t="s">
        <v>170</v>
      </c>
      <c r="N41" s="6" t="n">
        <v>2</v>
      </c>
      <c r="O41" s="6" t="s">
        <v>28</v>
      </c>
      <c r="P41" s="7"/>
      <c r="Q41" s="6" t="s">
        <v>171</v>
      </c>
      <c r="R41" s="8" t="b">
        <f aca="false">TRUE()</f>
        <v>1</v>
      </c>
      <c r="S41" s="6" t="s">
        <v>93</v>
      </c>
    </row>
    <row r="42" customFormat="false" ht="15" hidden="false" customHeight="false" outlineLevel="0" collapsed="false">
      <c r="A42" s="2" t="s">
        <v>19</v>
      </c>
      <c r="B42" s="2" t="n">
        <v>5</v>
      </c>
      <c r="C42" s="2" t="s">
        <v>172</v>
      </c>
      <c r="D42" s="2" t="n">
        <v>1</v>
      </c>
      <c r="E42" s="2" t="s">
        <v>173</v>
      </c>
      <c r="F42" s="2" t="s">
        <v>22</v>
      </c>
      <c r="G42" s="2" t="s">
        <v>23</v>
      </c>
      <c r="H42" s="3" t="s">
        <v>24</v>
      </c>
      <c r="I42" s="2" t="s">
        <v>174</v>
      </c>
      <c r="J42" s="2" t="s">
        <v>175</v>
      </c>
      <c r="K42" s="3" t="s">
        <v>176</v>
      </c>
      <c r="L42" s="2" t="n">
        <f aca="false">MAX(1,ROUND(0.75*Inputs!$B$4*Inputs!$B$5^(B42-1)*INDEX(Inputs!$C$15:$C$23,MATCH("mining",Inputs!$A$15:$A$23,0))*Inputs!$B$7*Inputs!$B$6^(D42-1)/Inputs!$B$12,0))</f>
        <v>77</v>
      </c>
      <c r="M42" s="2"/>
      <c r="N42" s="2"/>
      <c r="O42" s="2" t="s">
        <v>28</v>
      </c>
      <c r="P42" s="3"/>
      <c r="Q42" s="2" t="s">
        <v>29</v>
      </c>
      <c r="R42" s="2" t="n">
        <v>1.05</v>
      </c>
      <c r="S42" s="2" t="s">
        <v>149</v>
      </c>
    </row>
    <row r="43" customFormat="false" ht="23.85" hidden="false" customHeight="false" outlineLevel="0" collapsed="false">
      <c r="A43" s="2" t="s">
        <v>19</v>
      </c>
      <c r="B43" s="2" t="n">
        <v>5</v>
      </c>
      <c r="C43" s="2" t="s">
        <v>172</v>
      </c>
      <c r="D43" s="2" t="n">
        <v>2</v>
      </c>
      <c r="E43" s="2" t="s">
        <v>177</v>
      </c>
      <c r="F43" s="2" t="s">
        <v>22</v>
      </c>
      <c r="G43" s="2" t="s">
        <v>32</v>
      </c>
      <c r="H43" s="3" t="s">
        <v>33</v>
      </c>
      <c r="I43" s="2" t="s">
        <v>34</v>
      </c>
      <c r="J43" s="2" t="s">
        <v>178</v>
      </c>
      <c r="K43" s="3" t="s">
        <v>176</v>
      </c>
      <c r="L43" s="2" t="n">
        <f aca="false">MAX(1,ROUND(0.75*Inputs!$B$4*Inputs!$B$5^(B43-1)*INDEX(Inputs!$C$15:$C$23,MATCH("mining",Inputs!$A$15:$A$23,0))*Inputs!$B$7*Inputs!$B$6^(D43-1)/Inputs!$B$12,0))</f>
        <v>89</v>
      </c>
      <c r="M43" s="2"/>
      <c r="N43" s="2"/>
      <c r="O43" s="2" t="s">
        <v>28</v>
      </c>
      <c r="P43" s="3"/>
      <c r="Q43" s="2" t="s">
        <v>36</v>
      </c>
      <c r="R43" s="2" t="n">
        <v>0.05</v>
      </c>
      <c r="S43" s="2" t="s">
        <v>152</v>
      </c>
    </row>
    <row r="44" customFormat="false" ht="15" hidden="false" customHeight="false" outlineLevel="0" collapsed="false">
      <c r="A44" s="2" t="s">
        <v>19</v>
      </c>
      <c r="B44" s="2" t="n">
        <v>5</v>
      </c>
      <c r="C44" s="2" t="s">
        <v>172</v>
      </c>
      <c r="D44" s="2" t="n">
        <v>3</v>
      </c>
      <c r="E44" s="2" t="s">
        <v>179</v>
      </c>
      <c r="F44" s="2" t="s">
        <v>22</v>
      </c>
      <c r="G44" s="2" t="s">
        <v>39</v>
      </c>
      <c r="H44" s="3" t="s">
        <v>40</v>
      </c>
      <c r="I44" s="2" t="s">
        <v>41</v>
      </c>
      <c r="J44" s="2" t="s">
        <v>180</v>
      </c>
      <c r="K44" s="3" t="s">
        <v>43</v>
      </c>
      <c r="L44" s="2" t="n">
        <f aca="false">MAX(1,ROUND(0.75*Inputs!$B$9*Inputs!$B$10^(B44-1),0))</f>
        <v>38</v>
      </c>
      <c r="M44" s="2"/>
      <c r="N44" s="2"/>
      <c r="O44" s="2" t="s">
        <v>44</v>
      </c>
      <c r="P44" s="3"/>
      <c r="Q44" s="2" t="s">
        <v>45</v>
      </c>
      <c r="R44" s="2" t="n">
        <v>1</v>
      </c>
      <c r="S44" s="2" t="s">
        <v>154</v>
      </c>
    </row>
    <row r="45" customFormat="false" ht="23.85" hidden="false" customHeight="false" outlineLevel="0" collapsed="false">
      <c r="A45" s="2" t="s">
        <v>19</v>
      </c>
      <c r="B45" s="2" t="n">
        <v>5</v>
      </c>
      <c r="C45" s="2" t="s">
        <v>172</v>
      </c>
      <c r="D45" s="2" t="n">
        <v>4</v>
      </c>
      <c r="E45" s="2" t="s">
        <v>181</v>
      </c>
      <c r="F45" s="2" t="s">
        <v>22</v>
      </c>
      <c r="G45" s="2" t="s">
        <v>48</v>
      </c>
      <c r="H45" s="3" t="s">
        <v>49</v>
      </c>
      <c r="I45" s="2" t="s">
        <v>50</v>
      </c>
      <c r="J45" s="2" t="s">
        <v>182</v>
      </c>
      <c r="K45" s="3" t="s">
        <v>176</v>
      </c>
      <c r="L45" s="2" t="n">
        <f aca="false">MAX(1,ROUND(0.75*Inputs!$B$4*Inputs!$B$5^(B45-1)*INDEX(Inputs!$C$15:$C$23,MATCH("mining",Inputs!$A$15:$A$23,0))*Inputs!$B$7*Inputs!$B$6^(D45-1)/Inputs!$B$12,0))</f>
        <v>117</v>
      </c>
      <c r="M45" s="2"/>
      <c r="N45" s="2"/>
      <c r="O45" s="2" t="s">
        <v>28</v>
      </c>
      <c r="P45" s="3"/>
      <c r="Q45" s="2" t="s">
        <v>52</v>
      </c>
      <c r="R45" s="2" t="n">
        <v>2</v>
      </c>
      <c r="S45" s="2" t="s">
        <v>158</v>
      </c>
    </row>
    <row r="46" customFormat="false" ht="15" hidden="false" customHeight="false" outlineLevel="0" collapsed="false">
      <c r="A46" s="2" t="s">
        <v>19</v>
      </c>
      <c r="B46" s="2" t="n">
        <v>5</v>
      </c>
      <c r="C46" s="2" t="s">
        <v>172</v>
      </c>
      <c r="D46" s="2" t="n">
        <v>5</v>
      </c>
      <c r="E46" s="2" t="s">
        <v>183</v>
      </c>
      <c r="F46" s="2" t="s">
        <v>22</v>
      </c>
      <c r="G46" s="2" t="s">
        <v>48</v>
      </c>
      <c r="H46" s="3" t="s">
        <v>55</v>
      </c>
      <c r="I46" s="2" t="s">
        <v>50</v>
      </c>
      <c r="J46" s="2" t="s">
        <v>184</v>
      </c>
      <c r="K46" s="3" t="s">
        <v>176</v>
      </c>
      <c r="L46" s="2" t="n">
        <f aca="false">MAX(1,ROUND(0.75*Inputs!$B$4*Inputs!$B$5^(B46-1)*INDEX(Inputs!$C$15:$C$23,MATCH("mining",Inputs!$A$15:$A$23,0))*Inputs!$B$7*Inputs!$B$6^(D46-1)/Inputs!$B$12,0))</f>
        <v>135</v>
      </c>
      <c r="M46" s="2"/>
      <c r="N46" s="2"/>
      <c r="O46" s="2" t="s">
        <v>28</v>
      </c>
      <c r="P46" s="3"/>
      <c r="Q46" s="2" t="s">
        <v>52</v>
      </c>
      <c r="R46" s="2" t="n">
        <v>2</v>
      </c>
      <c r="S46" s="2" t="s">
        <v>182</v>
      </c>
    </row>
    <row r="47" customFormat="false" ht="15" hidden="false" customHeight="false" outlineLevel="0" collapsed="false">
      <c r="A47" s="2" t="s">
        <v>19</v>
      </c>
      <c r="B47" s="2" t="n">
        <v>5</v>
      </c>
      <c r="C47" s="2" t="s">
        <v>172</v>
      </c>
      <c r="D47" s="2" t="n">
        <v>6</v>
      </c>
      <c r="E47" s="2" t="s">
        <v>185</v>
      </c>
      <c r="F47" s="2" t="s">
        <v>22</v>
      </c>
      <c r="G47" s="2" t="s">
        <v>58</v>
      </c>
      <c r="H47" s="3" t="s">
        <v>59</v>
      </c>
      <c r="I47" s="2" t="s">
        <v>60</v>
      </c>
      <c r="J47" s="2" t="s">
        <v>186</v>
      </c>
      <c r="K47" s="3" t="s">
        <v>176</v>
      </c>
      <c r="L47" s="2" t="n">
        <f aca="false">MAX(1,ROUND(0.75*Inputs!$B$4*Inputs!$B$5^(B47-1)*INDEX(Inputs!$C$15:$C$23,MATCH("mining",Inputs!$A$15:$A$23,0))*Inputs!$B$7*Inputs!$B$6^(D47-1)/Inputs!$B$12,0))</f>
        <v>155</v>
      </c>
      <c r="M47" s="2"/>
      <c r="N47" s="2"/>
      <c r="O47" s="2" t="s">
        <v>28</v>
      </c>
      <c r="P47" s="3"/>
      <c r="Q47" s="2" t="s">
        <v>62</v>
      </c>
      <c r="R47" s="2" t="n">
        <v>2.5</v>
      </c>
      <c r="S47" s="2" t="s">
        <v>160</v>
      </c>
    </row>
    <row r="48" customFormat="false" ht="23.85" hidden="false" customHeight="false" outlineLevel="0" collapsed="false">
      <c r="A48" s="2" t="s">
        <v>19</v>
      </c>
      <c r="B48" s="2" t="n">
        <v>5</v>
      </c>
      <c r="C48" s="2" t="s">
        <v>172</v>
      </c>
      <c r="D48" s="2" t="n">
        <v>7</v>
      </c>
      <c r="E48" s="2" t="s">
        <v>187</v>
      </c>
      <c r="F48" s="2" t="s">
        <v>22</v>
      </c>
      <c r="G48" s="2" t="s">
        <v>65</v>
      </c>
      <c r="H48" s="3" t="s">
        <v>66</v>
      </c>
      <c r="I48" s="2" t="s">
        <v>67</v>
      </c>
      <c r="J48" s="2" t="s">
        <v>188</v>
      </c>
      <c r="K48" s="3" t="s">
        <v>176</v>
      </c>
      <c r="L48" s="2" t="n">
        <f aca="false">MAX(1,ROUND(0.75*Inputs!$B$4*Inputs!$B$5^(B48-1)*INDEX(Inputs!$C$15:$C$23,MATCH("mining",Inputs!$A$15:$A$23,0))*Inputs!$B$7*Inputs!$B$6^(D48-1)/Inputs!$B$12,0))</f>
        <v>178</v>
      </c>
      <c r="M48" s="2"/>
      <c r="N48" s="2"/>
      <c r="O48" s="2" t="s">
        <v>28</v>
      </c>
      <c r="P48" s="3"/>
      <c r="Q48" s="2" t="s">
        <v>69</v>
      </c>
      <c r="R48" s="2" t="n">
        <v>2.5</v>
      </c>
      <c r="S48" s="2" t="s">
        <v>162</v>
      </c>
    </row>
    <row r="49" customFormat="false" ht="23.85" hidden="false" customHeight="false" outlineLevel="0" collapsed="false">
      <c r="A49" s="4" t="s">
        <v>19</v>
      </c>
      <c r="B49" s="4" t="n">
        <v>5</v>
      </c>
      <c r="C49" s="4" t="s">
        <v>172</v>
      </c>
      <c r="D49" s="4" t="n">
        <v>8</v>
      </c>
      <c r="E49" s="4" t="s">
        <v>189</v>
      </c>
      <c r="F49" s="4" t="s">
        <v>72</v>
      </c>
      <c r="G49" s="4" t="s">
        <v>73</v>
      </c>
      <c r="H49" s="5" t="s">
        <v>74</v>
      </c>
      <c r="I49" s="4" t="s">
        <v>75</v>
      </c>
      <c r="J49" s="4" t="s">
        <v>190</v>
      </c>
      <c r="K49" s="5" t="s">
        <v>176</v>
      </c>
      <c r="L49" s="4" t="n">
        <f aca="false">MAX(1,ROUND(0.75*Inputs!$B$4*Inputs!$B$5^(B49-1)*INDEX(Inputs!$C$15:$C$23,MATCH("mining",Inputs!$A$15:$A$23,0))*Inputs!$B$7*Inputs!$B$6^(D49-1)/Inputs!$B$12,0))</f>
        <v>205</v>
      </c>
      <c r="M49" s="4"/>
      <c r="N49" s="4"/>
      <c r="O49" s="4" t="s">
        <v>28</v>
      </c>
      <c r="P49" s="5"/>
      <c r="Q49" s="4" t="s">
        <v>77</v>
      </c>
      <c r="R49" s="4" t="n">
        <v>0.03</v>
      </c>
      <c r="S49" s="4" t="s">
        <v>164</v>
      </c>
    </row>
    <row r="50" customFormat="false" ht="15" hidden="false" customHeight="false" outlineLevel="0" collapsed="false">
      <c r="A50" s="4" t="s">
        <v>19</v>
      </c>
      <c r="B50" s="4" t="n">
        <v>5</v>
      </c>
      <c r="C50" s="4" t="s">
        <v>172</v>
      </c>
      <c r="D50" s="4" t="n">
        <v>9</v>
      </c>
      <c r="E50" s="4" t="s">
        <v>191</v>
      </c>
      <c r="F50" s="4" t="s">
        <v>72</v>
      </c>
      <c r="G50" s="4" t="s">
        <v>80</v>
      </c>
      <c r="H50" s="5" t="s">
        <v>81</v>
      </c>
      <c r="I50" s="4" t="s">
        <v>82</v>
      </c>
      <c r="J50" s="4" t="s">
        <v>192</v>
      </c>
      <c r="K50" s="5" t="s">
        <v>43</v>
      </c>
      <c r="L50" s="4" t="n">
        <f aca="false">MAX(1,ROUND(0.75*Inputs!$B$9*Inputs!$B$10^(B50-1),0))</f>
        <v>38</v>
      </c>
      <c r="M50" s="4"/>
      <c r="N50" s="4"/>
      <c r="O50" s="4" t="s">
        <v>44</v>
      </c>
      <c r="P50" s="5"/>
      <c r="Q50" s="4" t="s">
        <v>84</v>
      </c>
      <c r="R50" s="4" t="n">
        <v>0.1</v>
      </c>
      <c r="S50" s="4" t="s">
        <v>166</v>
      </c>
    </row>
    <row r="51" customFormat="false" ht="23.85" hidden="false" customHeight="false" outlineLevel="0" collapsed="false">
      <c r="A51" s="6" t="s">
        <v>19</v>
      </c>
      <c r="B51" s="6" t="n">
        <v>5</v>
      </c>
      <c r="C51" s="6" t="s">
        <v>172</v>
      </c>
      <c r="D51" s="6" t="n">
        <v>10</v>
      </c>
      <c r="E51" s="6" t="s">
        <v>193</v>
      </c>
      <c r="F51" s="6" t="s">
        <v>87</v>
      </c>
      <c r="G51" s="6" t="s">
        <v>194</v>
      </c>
      <c r="H51" s="7" t="s">
        <v>195</v>
      </c>
      <c r="I51" s="6" t="s">
        <v>90</v>
      </c>
      <c r="J51" s="6"/>
      <c r="K51" s="7" t="s">
        <v>176</v>
      </c>
      <c r="L51" s="6" t="n">
        <f aca="false">MAX(1,ROUND(0.75*Inputs!$B$4*Inputs!$B$5^(B51-1)*INDEX(Inputs!$C$15:$C$23,MATCH("mining",Inputs!$A$15:$A$23,0))*Inputs!$B$7*Inputs!$B$6^(D51-1)/Inputs!$B$12,0))</f>
        <v>271</v>
      </c>
      <c r="M51" s="6" t="s">
        <v>196</v>
      </c>
      <c r="N51" s="6" t="n">
        <v>2</v>
      </c>
      <c r="O51" s="6" t="s">
        <v>28</v>
      </c>
      <c r="P51" s="7"/>
      <c r="Q51" s="6" t="s">
        <v>197</v>
      </c>
      <c r="R51" s="8" t="b">
        <f aca="false">TRUE()</f>
        <v>1</v>
      </c>
      <c r="S51" s="6" t="s">
        <v>93</v>
      </c>
    </row>
    <row r="52" customFormat="false" ht="15" hidden="false" customHeight="false" outlineLevel="0" collapsed="false">
      <c r="A52" s="2" t="s">
        <v>19</v>
      </c>
      <c r="B52" s="2" t="n">
        <v>6</v>
      </c>
      <c r="C52" s="2" t="s">
        <v>198</v>
      </c>
      <c r="D52" s="2" t="n">
        <v>1</v>
      </c>
      <c r="E52" s="2" t="s">
        <v>199</v>
      </c>
      <c r="F52" s="2" t="s">
        <v>22</v>
      </c>
      <c r="G52" s="2" t="s">
        <v>23</v>
      </c>
      <c r="H52" s="3" t="s">
        <v>24</v>
      </c>
      <c r="I52" s="2" t="s">
        <v>200</v>
      </c>
      <c r="J52" s="2" t="s">
        <v>201</v>
      </c>
      <c r="K52" s="3" t="s">
        <v>202</v>
      </c>
      <c r="L52" s="2" t="n">
        <f aca="false">MAX(1,ROUND(1*Inputs!$B$4*Inputs!$B$5^(B52-1)*INDEX(Inputs!$C$15:$C$23,MATCH("mining",Inputs!$A$15:$A$23,0))*Inputs!$B$7*Inputs!$B$6^(D52-1)/Inputs!$B$12,0))</f>
        <v>113</v>
      </c>
      <c r="M52" s="2"/>
      <c r="N52" s="2"/>
      <c r="O52" s="2" t="s">
        <v>28</v>
      </c>
      <c r="P52" s="3"/>
      <c r="Q52" s="2" t="s">
        <v>29</v>
      </c>
      <c r="R52" s="2" t="n">
        <v>1.55</v>
      </c>
      <c r="S52" s="2" t="s">
        <v>175</v>
      </c>
    </row>
    <row r="53" customFormat="false" ht="23.85" hidden="false" customHeight="false" outlineLevel="0" collapsed="false">
      <c r="A53" s="2" t="s">
        <v>19</v>
      </c>
      <c r="B53" s="2" t="n">
        <v>6</v>
      </c>
      <c r="C53" s="2" t="s">
        <v>198</v>
      </c>
      <c r="D53" s="2" t="n">
        <v>2</v>
      </c>
      <c r="E53" s="2" t="s">
        <v>203</v>
      </c>
      <c r="F53" s="2" t="s">
        <v>22</v>
      </c>
      <c r="G53" s="2" t="s">
        <v>32</v>
      </c>
      <c r="H53" s="3" t="s">
        <v>33</v>
      </c>
      <c r="I53" s="2" t="s">
        <v>34</v>
      </c>
      <c r="J53" s="2" t="s">
        <v>204</v>
      </c>
      <c r="K53" s="3" t="s">
        <v>202</v>
      </c>
      <c r="L53" s="2" t="n">
        <f aca="false">MAX(1,ROUND(1*Inputs!$B$4*Inputs!$B$5^(B53-1)*INDEX(Inputs!$C$15:$C$23,MATCH("mining",Inputs!$A$15:$A$23,0))*Inputs!$B$7*Inputs!$B$6^(D53-1)/Inputs!$B$12,0))</f>
        <v>130</v>
      </c>
      <c r="M53" s="2"/>
      <c r="N53" s="2"/>
      <c r="O53" s="2" t="s">
        <v>28</v>
      </c>
      <c r="P53" s="3"/>
      <c r="Q53" s="2" t="s">
        <v>36</v>
      </c>
      <c r="R53" s="2" t="n">
        <v>0.05</v>
      </c>
      <c r="S53" s="2" t="s">
        <v>178</v>
      </c>
    </row>
    <row r="54" customFormat="false" ht="15" hidden="false" customHeight="false" outlineLevel="0" collapsed="false">
      <c r="A54" s="2" t="s">
        <v>19</v>
      </c>
      <c r="B54" s="2" t="n">
        <v>6</v>
      </c>
      <c r="C54" s="2" t="s">
        <v>198</v>
      </c>
      <c r="D54" s="2" t="n">
        <v>3</v>
      </c>
      <c r="E54" s="2" t="s">
        <v>205</v>
      </c>
      <c r="F54" s="2" t="s">
        <v>22</v>
      </c>
      <c r="G54" s="2" t="s">
        <v>39</v>
      </c>
      <c r="H54" s="3" t="s">
        <v>40</v>
      </c>
      <c r="I54" s="2" t="s">
        <v>41</v>
      </c>
      <c r="J54" s="2" t="s">
        <v>206</v>
      </c>
      <c r="K54" s="3" t="s">
        <v>43</v>
      </c>
      <c r="L54" s="2" t="n">
        <f aca="false">MAX(1,ROUND(1*Inputs!$B$9*Inputs!$B$10^(B54-1),0))</f>
        <v>76</v>
      </c>
      <c r="M54" s="2"/>
      <c r="N54" s="2"/>
      <c r="O54" s="2" t="s">
        <v>44</v>
      </c>
      <c r="P54" s="3"/>
      <c r="Q54" s="2" t="s">
        <v>45</v>
      </c>
      <c r="R54" s="2" t="n">
        <v>1</v>
      </c>
      <c r="S54" s="2" t="s">
        <v>180</v>
      </c>
    </row>
    <row r="55" customFormat="false" ht="23.85" hidden="false" customHeight="false" outlineLevel="0" collapsed="false">
      <c r="A55" s="2" t="s">
        <v>19</v>
      </c>
      <c r="B55" s="2" t="n">
        <v>6</v>
      </c>
      <c r="C55" s="2" t="s">
        <v>198</v>
      </c>
      <c r="D55" s="2" t="n">
        <v>4</v>
      </c>
      <c r="E55" s="2" t="s">
        <v>207</v>
      </c>
      <c r="F55" s="2" t="s">
        <v>22</v>
      </c>
      <c r="G55" s="2" t="s">
        <v>48</v>
      </c>
      <c r="H55" s="3" t="s">
        <v>49</v>
      </c>
      <c r="I55" s="2" t="s">
        <v>50</v>
      </c>
      <c r="J55" s="2" t="s">
        <v>208</v>
      </c>
      <c r="K55" s="3" t="s">
        <v>202</v>
      </c>
      <c r="L55" s="2" t="n">
        <f aca="false">MAX(1,ROUND(1*Inputs!$B$4*Inputs!$B$5^(B55-1)*INDEX(Inputs!$C$15:$C$23,MATCH("mining",Inputs!$A$15:$A$23,0))*Inputs!$B$7*Inputs!$B$6^(D55-1)/Inputs!$B$12,0))</f>
        <v>172</v>
      </c>
      <c r="M55" s="2"/>
      <c r="N55" s="2"/>
      <c r="O55" s="2" t="s">
        <v>28</v>
      </c>
      <c r="P55" s="3"/>
      <c r="Q55" s="2" t="s">
        <v>52</v>
      </c>
      <c r="R55" s="2" t="n">
        <v>2</v>
      </c>
      <c r="S55" s="2" t="s">
        <v>184</v>
      </c>
    </row>
    <row r="56" customFormat="false" ht="15" hidden="false" customHeight="false" outlineLevel="0" collapsed="false">
      <c r="A56" s="2" t="s">
        <v>19</v>
      </c>
      <c r="B56" s="2" t="n">
        <v>6</v>
      </c>
      <c r="C56" s="2" t="s">
        <v>198</v>
      </c>
      <c r="D56" s="2" t="n">
        <v>5</v>
      </c>
      <c r="E56" s="2" t="s">
        <v>209</v>
      </c>
      <c r="F56" s="2" t="s">
        <v>22</v>
      </c>
      <c r="G56" s="2" t="s">
        <v>48</v>
      </c>
      <c r="H56" s="3" t="s">
        <v>55</v>
      </c>
      <c r="I56" s="2" t="s">
        <v>50</v>
      </c>
      <c r="J56" s="2" t="s">
        <v>210</v>
      </c>
      <c r="K56" s="3" t="s">
        <v>202</v>
      </c>
      <c r="L56" s="2" t="n">
        <f aca="false">MAX(1,ROUND(1*Inputs!$B$4*Inputs!$B$5^(B56-1)*INDEX(Inputs!$C$15:$C$23,MATCH("mining",Inputs!$A$15:$A$23,0))*Inputs!$B$7*Inputs!$B$6^(D56-1)/Inputs!$B$12,0))</f>
        <v>198</v>
      </c>
      <c r="M56" s="2"/>
      <c r="N56" s="2"/>
      <c r="O56" s="2" t="s">
        <v>28</v>
      </c>
      <c r="P56" s="3"/>
      <c r="Q56" s="2" t="s">
        <v>52</v>
      </c>
      <c r="R56" s="2" t="n">
        <v>2</v>
      </c>
      <c r="S56" s="2" t="s">
        <v>208</v>
      </c>
    </row>
    <row r="57" customFormat="false" ht="15" hidden="false" customHeight="false" outlineLevel="0" collapsed="false">
      <c r="A57" s="2" t="s">
        <v>19</v>
      </c>
      <c r="B57" s="2" t="n">
        <v>6</v>
      </c>
      <c r="C57" s="2" t="s">
        <v>198</v>
      </c>
      <c r="D57" s="2" t="n">
        <v>6</v>
      </c>
      <c r="E57" s="2" t="s">
        <v>211</v>
      </c>
      <c r="F57" s="2" t="s">
        <v>22</v>
      </c>
      <c r="G57" s="2" t="s">
        <v>58</v>
      </c>
      <c r="H57" s="3" t="s">
        <v>59</v>
      </c>
      <c r="I57" s="2" t="s">
        <v>60</v>
      </c>
      <c r="J57" s="2" t="s">
        <v>212</v>
      </c>
      <c r="K57" s="3" t="s">
        <v>202</v>
      </c>
      <c r="L57" s="2" t="n">
        <f aca="false">MAX(1,ROUND(1*Inputs!$B$4*Inputs!$B$5^(B57-1)*INDEX(Inputs!$C$15:$C$23,MATCH("mining",Inputs!$A$15:$A$23,0))*Inputs!$B$7*Inputs!$B$6^(D57-1)/Inputs!$B$12,0))</f>
        <v>227</v>
      </c>
      <c r="M57" s="2"/>
      <c r="N57" s="2"/>
      <c r="O57" s="2" t="s">
        <v>28</v>
      </c>
      <c r="P57" s="3"/>
      <c r="Q57" s="2" t="s">
        <v>62</v>
      </c>
      <c r="R57" s="2" t="n">
        <v>2.5</v>
      </c>
      <c r="S57" s="2" t="s">
        <v>186</v>
      </c>
    </row>
    <row r="58" customFormat="false" ht="23.85" hidden="false" customHeight="false" outlineLevel="0" collapsed="false">
      <c r="A58" s="2" t="s">
        <v>19</v>
      </c>
      <c r="B58" s="2" t="n">
        <v>6</v>
      </c>
      <c r="C58" s="2" t="s">
        <v>198</v>
      </c>
      <c r="D58" s="2" t="n">
        <v>7</v>
      </c>
      <c r="E58" s="2" t="s">
        <v>213</v>
      </c>
      <c r="F58" s="2" t="s">
        <v>22</v>
      </c>
      <c r="G58" s="2" t="s">
        <v>65</v>
      </c>
      <c r="H58" s="3" t="s">
        <v>66</v>
      </c>
      <c r="I58" s="2" t="s">
        <v>67</v>
      </c>
      <c r="J58" s="2" t="s">
        <v>214</v>
      </c>
      <c r="K58" s="3" t="s">
        <v>202</v>
      </c>
      <c r="L58" s="2" t="n">
        <f aca="false">MAX(1,ROUND(1*Inputs!$B$4*Inputs!$B$5^(B58-1)*INDEX(Inputs!$C$15:$C$23,MATCH("mining",Inputs!$A$15:$A$23,0))*Inputs!$B$7*Inputs!$B$6^(D58-1)/Inputs!$B$12,0))</f>
        <v>261</v>
      </c>
      <c r="M58" s="2"/>
      <c r="N58" s="2"/>
      <c r="O58" s="2" t="s">
        <v>28</v>
      </c>
      <c r="P58" s="3"/>
      <c r="Q58" s="2" t="s">
        <v>69</v>
      </c>
      <c r="R58" s="2" t="n">
        <v>2.5</v>
      </c>
      <c r="S58" s="2" t="s">
        <v>188</v>
      </c>
    </row>
    <row r="59" customFormat="false" ht="23.85" hidden="false" customHeight="false" outlineLevel="0" collapsed="false">
      <c r="A59" s="4" t="s">
        <v>19</v>
      </c>
      <c r="B59" s="4" t="n">
        <v>6</v>
      </c>
      <c r="C59" s="4" t="s">
        <v>198</v>
      </c>
      <c r="D59" s="4" t="n">
        <v>8</v>
      </c>
      <c r="E59" s="4" t="s">
        <v>215</v>
      </c>
      <c r="F59" s="4" t="s">
        <v>72</v>
      </c>
      <c r="G59" s="4" t="s">
        <v>73</v>
      </c>
      <c r="H59" s="5" t="s">
        <v>74</v>
      </c>
      <c r="I59" s="4" t="s">
        <v>75</v>
      </c>
      <c r="J59" s="4" t="s">
        <v>216</v>
      </c>
      <c r="K59" s="5" t="s">
        <v>202</v>
      </c>
      <c r="L59" s="4" t="n">
        <f aca="false">MAX(1,ROUND(1*Inputs!$B$4*Inputs!$B$5^(B59-1)*INDEX(Inputs!$C$15:$C$23,MATCH("mining",Inputs!$A$15:$A$23,0))*Inputs!$B$7*Inputs!$B$6^(D59-1)/Inputs!$B$12,0))</f>
        <v>301</v>
      </c>
      <c r="M59" s="4"/>
      <c r="N59" s="4"/>
      <c r="O59" s="4" t="s">
        <v>28</v>
      </c>
      <c r="P59" s="5"/>
      <c r="Q59" s="4" t="s">
        <v>77</v>
      </c>
      <c r="R59" s="4" t="n">
        <v>0.03</v>
      </c>
      <c r="S59" s="4" t="s">
        <v>190</v>
      </c>
    </row>
    <row r="60" customFormat="false" ht="15" hidden="false" customHeight="false" outlineLevel="0" collapsed="false">
      <c r="A60" s="4" t="s">
        <v>19</v>
      </c>
      <c r="B60" s="4" t="n">
        <v>6</v>
      </c>
      <c r="C60" s="4" t="s">
        <v>198</v>
      </c>
      <c r="D60" s="4" t="n">
        <v>9</v>
      </c>
      <c r="E60" s="4" t="s">
        <v>217</v>
      </c>
      <c r="F60" s="4" t="s">
        <v>72</v>
      </c>
      <c r="G60" s="4" t="s">
        <v>80</v>
      </c>
      <c r="H60" s="5" t="s">
        <v>81</v>
      </c>
      <c r="I60" s="4" t="s">
        <v>82</v>
      </c>
      <c r="J60" s="4" t="s">
        <v>218</v>
      </c>
      <c r="K60" s="5" t="s">
        <v>43</v>
      </c>
      <c r="L60" s="4" t="n">
        <f aca="false">MAX(1,ROUND(1*Inputs!$B$9*Inputs!$B$10^(B60-1),0))</f>
        <v>76</v>
      </c>
      <c r="M60" s="4"/>
      <c r="N60" s="4"/>
      <c r="O60" s="4" t="s">
        <v>44</v>
      </c>
      <c r="P60" s="5"/>
      <c r="Q60" s="4" t="s">
        <v>84</v>
      </c>
      <c r="R60" s="4" t="n">
        <v>0.1</v>
      </c>
      <c r="S60" s="4" t="s">
        <v>192</v>
      </c>
    </row>
    <row r="61" customFormat="false" ht="15" hidden="false" customHeight="false" outlineLevel="0" collapsed="false">
      <c r="A61" s="6" t="s">
        <v>19</v>
      </c>
      <c r="B61" s="6" t="n">
        <v>6</v>
      </c>
      <c r="C61" s="6" t="s">
        <v>198</v>
      </c>
      <c r="D61" s="6" t="n">
        <v>10</v>
      </c>
      <c r="E61" s="6" t="s">
        <v>219</v>
      </c>
      <c r="F61" s="6" t="s">
        <v>87</v>
      </c>
      <c r="G61" s="6" t="s">
        <v>220</v>
      </c>
      <c r="H61" s="7" t="s">
        <v>221</v>
      </c>
      <c r="I61" s="6" t="s">
        <v>90</v>
      </c>
      <c r="J61" s="6"/>
      <c r="K61" s="7" t="s">
        <v>202</v>
      </c>
      <c r="L61" s="6" t="n">
        <f aca="false">MAX(1,ROUND(1*Inputs!$B$4*Inputs!$B$5^(B61-1)*INDEX(Inputs!$C$15:$C$23,MATCH("mining",Inputs!$A$15:$A$23,0))*Inputs!$B$7*Inputs!$B$6^(D61-1)/Inputs!$B$12,0))</f>
        <v>398</v>
      </c>
      <c r="M61" s="6" t="s">
        <v>222</v>
      </c>
      <c r="N61" s="6" t="n">
        <v>2</v>
      </c>
      <c r="O61" s="6" t="s">
        <v>28</v>
      </c>
      <c r="P61" s="7"/>
      <c r="Q61" s="6" t="s">
        <v>223</v>
      </c>
      <c r="R61" s="8" t="b">
        <f aca="false">TRUE()</f>
        <v>1</v>
      </c>
      <c r="S61" s="6" t="s">
        <v>93</v>
      </c>
    </row>
    <row r="62" customFormat="false" ht="23.85" hidden="false" customHeight="false" outlineLevel="0" collapsed="false">
      <c r="A62" s="2" t="s">
        <v>224</v>
      </c>
      <c r="B62" s="2" t="n">
        <v>1</v>
      </c>
      <c r="C62" s="2" t="s">
        <v>20</v>
      </c>
      <c r="D62" s="2" t="n">
        <v>1</v>
      </c>
      <c r="E62" s="2" t="s">
        <v>21</v>
      </c>
      <c r="F62" s="2" t="s">
        <v>22</v>
      </c>
      <c r="G62" s="2" t="s">
        <v>225</v>
      </c>
      <c r="H62" s="3" t="s">
        <v>226</v>
      </c>
      <c r="I62" s="2" t="s">
        <v>227</v>
      </c>
      <c r="J62" s="2" t="s">
        <v>228</v>
      </c>
      <c r="K62" s="3" t="s">
        <v>27</v>
      </c>
      <c r="L62" s="2" t="n">
        <f aca="false">MAX(1,ROUND(0.3*Inputs!$B$4*Inputs!$B$5^(B62-1)*INDEX(Inputs!$C$15:$C$23,MATCH("mining",Inputs!$A$15:$A$23,0))*Inputs!$B$7*Inputs!$B$6^(D62-1)/Inputs!$B$12,0))</f>
        <v>21</v>
      </c>
      <c r="M62" s="2"/>
      <c r="N62" s="2"/>
      <c r="O62" s="2" t="s">
        <v>28</v>
      </c>
      <c r="P62" s="3"/>
      <c r="Q62" s="2" t="s">
        <v>229</v>
      </c>
      <c r="R62" s="2" t="n">
        <v>0.1667</v>
      </c>
      <c r="S62" s="2" t="s">
        <v>230</v>
      </c>
    </row>
    <row r="63" customFormat="false" ht="15" hidden="false" customHeight="false" outlineLevel="0" collapsed="false">
      <c r="A63" s="2" t="s">
        <v>224</v>
      </c>
      <c r="B63" s="2" t="n">
        <v>1</v>
      </c>
      <c r="C63" s="2" t="s">
        <v>20</v>
      </c>
      <c r="D63" s="2" t="n">
        <v>2</v>
      </c>
      <c r="E63" s="2" t="s">
        <v>31</v>
      </c>
      <c r="F63" s="2" t="s">
        <v>22</v>
      </c>
      <c r="G63" s="2" t="s">
        <v>225</v>
      </c>
      <c r="H63" s="3" t="s">
        <v>231</v>
      </c>
      <c r="I63" s="2" t="s">
        <v>227</v>
      </c>
      <c r="J63" s="2" t="s">
        <v>232</v>
      </c>
      <c r="K63" s="3" t="s">
        <v>27</v>
      </c>
      <c r="L63" s="2" t="n">
        <f aca="false">MAX(1,ROUND(0.3*Inputs!$B$4*Inputs!$B$5^(B63-1)*INDEX(Inputs!$C$15:$C$23,MATCH("mining",Inputs!$A$15:$A$23,0))*Inputs!$B$7*Inputs!$B$6^(D63-1)/Inputs!$B$12,0))</f>
        <v>24</v>
      </c>
      <c r="M63" s="2"/>
      <c r="N63" s="2"/>
      <c r="O63" s="2" t="s">
        <v>28</v>
      </c>
      <c r="P63" s="3"/>
      <c r="Q63" s="2" t="s">
        <v>229</v>
      </c>
      <c r="R63" s="2" t="n">
        <v>0.1667</v>
      </c>
      <c r="S63" s="2" t="s">
        <v>228</v>
      </c>
    </row>
    <row r="64" customFormat="false" ht="15" hidden="false" customHeight="false" outlineLevel="0" collapsed="false">
      <c r="A64" s="2" t="s">
        <v>224</v>
      </c>
      <c r="B64" s="2" t="n">
        <v>1</v>
      </c>
      <c r="C64" s="2" t="s">
        <v>20</v>
      </c>
      <c r="D64" s="2" t="n">
        <v>3</v>
      </c>
      <c r="E64" s="2" t="s">
        <v>38</v>
      </c>
      <c r="F64" s="2" t="s">
        <v>22</v>
      </c>
      <c r="G64" s="2" t="s">
        <v>225</v>
      </c>
      <c r="H64" s="3" t="s">
        <v>231</v>
      </c>
      <c r="I64" s="2" t="s">
        <v>227</v>
      </c>
      <c r="J64" s="2" t="s">
        <v>233</v>
      </c>
      <c r="K64" s="3" t="s">
        <v>27</v>
      </c>
      <c r="L64" s="2" t="n">
        <f aca="false">MAX(1,ROUND(0.3*Inputs!$B$4*Inputs!$B$5^(B64-1)*INDEX(Inputs!$C$15:$C$23,MATCH("mining",Inputs!$A$15:$A$23,0))*Inputs!$B$7*Inputs!$B$6^(D64-1)/Inputs!$B$12,0))</f>
        <v>28</v>
      </c>
      <c r="M64" s="2"/>
      <c r="N64" s="2"/>
      <c r="O64" s="2" t="s">
        <v>28</v>
      </c>
      <c r="P64" s="3"/>
      <c r="Q64" s="2" t="s">
        <v>229</v>
      </c>
      <c r="R64" s="2" t="n">
        <v>0.1667</v>
      </c>
      <c r="S64" s="2" t="s">
        <v>232</v>
      </c>
    </row>
    <row r="65" customFormat="false" ht="23.85" hidden="false" customHeight="false" outlineLevel="0" collapsed="false">
      <c r="A65" s="2" t="s">
        <v>224</v>
      </c>
      <c r="B65" s="2" t="n">
        <v>1</v>
      </c>
      <c r="C65" s="2" t="s">
        <v>20</v>
      </c>
      <c r="D65" s="2" t="n">
        <v>4</v>
      </c>
      <c r="E65" s="2" t="s">
        <v>47</v>
      </c>
      <c r="F65" s="2" t="s">
        <v>22</v>
      </c>
      <c r="G65" s="2" t="s">
        <v>234</v>
      </c>
      <c r="H65" s="3" t="s">
        <v>235</v>
      </c>
      <c r="I65" s="2" t="s">
        <v>236</v>
      </c>
      <c r="J65" s="2" t="s">
        <v>237</v>
      </c>
      <c r="K65" s="3" t="s">
        <v>27</v>
      </c>
      <c r="L65" s="2" t="n">
        <f aca="false">MAX(1,ROUND(0.3*Inputs!$B$4*Inputs!$B$5^(B65-1)*INDEX(Inputs!$C$15:$C$23,MATCH("mining",Inputs!$A$15:$A$23,0))*Inputs!$B$7*Inputs!$B$6^(D65-1)/Inputs!$B$12,0))</f>
        <v>32</v>
      </c>
      <c r="M65" s="2"/>
      <c r="N65" s="2"/>
      <c r="O65" s="2" t="s">
        <v>28</v>
      </c>
      <c r="P65" s="3"/>
      <c r="Q65" s="2" t="s">
        <v>238</v>
      </c>
      <c r="R65" s="2" t="n">
        <v>0.083333</v>
      </c>
      <c r="S65" s="2" t="s">
        <v>239</v>
      </c>
    </row>
    <row r="66" customFormat="false" ht="15" hidden="false" customHeight="false" outlineLevel="0" collapsed="false">
      <c r="A66" s="2" t="s">
        <v>224</v>
      </c>
      <c r="B66" s="2" t="n">
        <v>1</v>
      </c>
      <c r="C66" s="2" t="s">
        <v>20</v>
      </c>
      <c r="D66" s="2" t="n">
        <v>5</v>
      </c>
      <c r="E66" s="2" t="s">
        <v>54</v>
      </c>
      <c r="F66" s="2" t="s">
        <v>22</v>
      </c>
      <c r="G66" s="2" t="s">
        <v>234</v>
      </c>
      <c r="H66" s="3" t="s">
        <v>240</v>
      </c>
      <c r="I66" s="2" t="s">
        <v>236</v>
      </c>
      <c r="J66" s="2" t="s">
        <v>241</v>
      </c>
      <c r="K66" s="3" t="s">
        <v>27</v>
      </c>
      <c r="L66" s="2" t="n">
        <f aca="false">MAX(1,ROUND(0.3*Inputs!$B$4*Inputs!$B$5^(B66-1)*INDEX(Inputs!$C$15:$C$23,MATCH("mining",Inputs!$A$15:$A$23,0))*Inputs!$B$7*Inputs!$B$6^(D66-1)/Inputs!$B$12,0))</f>
        <v>37</v>
      </c>
      <c r="M66" s="2"/>
      <c r="N66" s="2"/>
      <c r="O66" s="2" t="s">
        <v>28</v>
      </c>
      <c r="P66" s="3"/>
      <c r="Q66" s="2" t="s">
        <v>238</v>
      </c>
      <c r="R66" s="2" t="n">
        <v>0.083333</v>
      </c>
      <c r="S66" s="2" t="s">
        <v>237</v>
      </c>
    </row>
    <row r="67" customFormat="false" ht="23.85" hidden="false" customHeight="false" outlineLevel="0" collapsed="false">
      <c r="A67" s="2" t="s">
        <v>224</v>
      </c>
      <c r="B67" s="2" t="n">
        <v>1</v>
      </c>
      <c r="C67" s="2" t="s">
        <v>20</v>
      </c>
      <c r="D67" s="2" t="n">
        <v>6</v>
      </c>
      <c r="E67" s="2" t="s">
        <v>57</v>
      </c>
      <c r="F67" s="2" t="s">
        <v>22</v>
      </c>
      <c r="G67" s="2" t="s">
        <v>242</v>
      </c>
      <c r="H67" s="3" t="s">
        <v>243</v>
      </c>
      <c r="I67" s="2" t="s">
        <v>244</v>
      </c>
      <c r="J67" s="2" t="s">
        <v>245</v>
      </c>
      <c r="K67" s="3" t="s">
        <v>27</v>
      </c>
      <c r="L67" s="2" t="n">
        <f aca="false">MAX(1,ROUND(0.3*Inputs!$B$4*Inputs!$B$5^(B67-1)*INDEX(Inputs!$C$15:$C$23,MATCH("mining",Inputs!$A$15:$A$23,0))*Inputs!$B$7*Inputs!$B$6^(D67-1)/Inputs!$B$12,0))</f>
        <v>42</v>
      </c>
      <c r="M67" s="2"/>
      <c r="N67" s="2"/>
      <c r="O67" s="2" t="s">
        <v>28</v>
      </c>
      <c r="P67" s="3"/>
      <c r="Q67" s="2" t="s">
        <v>246</v>
      </c>
      <c r="R67" s="2" t="n">
        <v>0.02</v>
      </c>
      <c r="S67" s="2" t="s">
        <v>247</v>
      </c>
    </row>
    <row r="68" customFormat="false" ht="15" hidden="false" customHeight="false" outlineLevel="0" collapsed="false">
      <c r="A68" s="2" t="s">
        <v>224</v>
      </c>
      <c r="B68" s="2" t="n">
        <v>1</v>
      </c>
      <c r="C68" s="2" t="s">
        <v>20</v>
      </c>
      <c r="D68" s="2" t="n">
        <v>7</v>
      </c>
      <c r="E68" s="2" t="s">
        <v>64</v>
      </c>
      <c r="F68" s="2" t="s">
        <v>22</v>
      </c>
      <c r="G68" s="2" t="s">
        <v>242</v>
      </c>
      <c r="H68" s="3" t="s">
        <v>248</v>
      </c>
      <c r="I68" s="2" t="s">
        <v>244</v>
      </c>
      <c r="J68" s="2" t="s">
        <v>249</v>
      </c>
      <c r="K68" s="3" t="s">
        <v>27</v>
      </c>
      <c r="L68" s="2" t="n">
        <f aca="false">MAX(1,ROUND(0.3*Inputs!$B$4*Inputs!$B$5^(B68-1)*INDEX(Inputs!$C$15:$C$23,MATCH("mining",Inputs!$A$15:$A$23,0))*Inputs!$B$7*Inputs!$B$6^(D68-1)/Inputs!$B$12,0))</f>
        <v>49</v>
      </c>
      <c r="M68" s="2"/>
      <c r="N68" s="2"/>
      <c r="O68" s="2" t="s">
        <v>28</v>
      </c>
      <c r="P68" s="3"/>
      <c r="Q68" s="2" t="s">
        <v>246</v>
      </c>
      <c r="R68" s="2" t="n">
        <v>0.02</v>
      </c>
      <c r="S68" s="2" t="s">
        <v>245</v>
      </c>
    </row>
    <row r="69" customFormat="false" ht="23.85" hidden="false" customHeight="false" outlineLevel="0" collapsed="false">
      <c r="A69" s="4" t="s">
        <v>224</v>
      </c>
      <c r="B69" s="4" t="n">
        <v>1</v>
      </c>
      <c r="C69" s="4" t="s">
        <v>20</v>
      </c>
      <c r="D69" s="4" t="n">
        <v>8</v>
      </c>
      <c r="E69" s="4" t="s">
        <v>71</v>
      </c>
      <c r="F69" s="4" t="s">
        <v>72</v>
      </c>
      <c r="G69" s="4" t="s">
        <v>250</v>
      </c>
      <c r="H69" s="5" t="s">
        <v>251</v>
      </c>
      <c r="I69" s="4" t="s">
        <v>252</v>
      </c>
      <c r="J69" s="4" t="s">
        <v>253</v>
      </c>
      <c r="K69" s="5" t="s">
        <v>27</v>
      </c>
      <c r="L69" s="4" t="n">
        <f aca="false">MAX(1,ROUND(0.3*Inputs!$B$4*Inputs!$B$5^(B69-1)*INDEX(Inputs!$C$15:$C$23,MATCH("mining",Inputs!$A$15:$A$23,0))*Inputs!$B$7*Inputs!$B$6^(D69-1)/Inputs!$B$12,0))</f>
        <v>56</v>
      </c>
      <c r="M69" s="4"/>
      <c r="N69" s="4"/>
      <c r="O69" s="4" t="s">
        <v>28</v>
      </c>
      <c r="P69" s="5"/>
      <c r="Q69" s="4" t="s">
        <v>254</v>
      </c>
      <c r="R69" s="4" t="n">
        <v>1</v>
      </c>
      <c r="S69" s="4" t="s">
        <v>255</v>
      </c>
    </row>
    <row r="70" customFormat="false" ht="15" hidden="false" customHeight="false" outlineLevel="0" collapsed="false">
      <c r="A70" s="4" t="s">
        <v>224</v>
      </c>
      <c r="B70" s="4" t="n">
        <v>1</v>
      </c>
      <c r="C70" s="4" t="s">
        <v>20</v>
      </c>
      <c r="D70" s="4" t="n">
        <v>9</v>
      </c>
      <c r="E70" s="4" t="s">
        <v>79</v>
      </c>
      <c r="F70" s="4" t="s">
        <v>72</v>
      </c>
      <c r="G70" s="4" t="s">
        <v>256</v>
      </c>
      <c r="H70" s="5" t="s">
        <v>257</v>
      </c>
      <c r="I70" s="4" t="s">
        <v>258</v>
      </c>
      <c r="J70" s="4" t="s">
        <v>259</v>
      </c>
      <c r="K70" s="5" t="s">
        <v>27</v>
      </c>
      <c r="L70" s="4" t="n">
        <f aca="false">MAX(1,ROUND(0.3*Inputs!$B$4*Inputs!$B$5^(B70-1)*INDEX(Inputs!$C$15:$C$23,MATCH("mining",Inputs!$A$15:$A$23,0))*Inputs!$B$7*Inputs!$B$6^(D70-1)/Inputs!$B$12,0))</f>
        <v>64</v>
      </c>
      <c r="M70" s="4"/>
      <c r="N70" s="4"/>
      <c r="O70" s="4" t="s">
        <v>28</v>
      </c>
      <c r="P70" s="5"/>
      <c r="Q70" s="4" t="s">
        <v>260</v>
      </c>
      <c r="R70" s="4" t="n">
        <v>0.1</v>
      </c>
      <c r="S70" s="4" t="s">
        <v>261</v>
      </c>
    </row>
    <row r="71" customFormat="false" ht="35.05" hidden="false" customHeight="false" outlineLevel="0" collapsed="false">
      <c r="A71" s="6" t="s">
        <v>224</v>
      </c>
      <c r="B71" s="6" t="n">
        <v>1</v>
      </c>
      <c r="C71" s="6" t="s">
        <v>20</v>
      </c>
      <c r="D71" s="6" t="n">
        <v>10</v>
      </c>
      <c r="E71" s="6" t="s">
        <v>86</v>
      </c>
      <c r="F71" s="6" t="s">
        <v>87</v>
      </c>
      <c r="G71" s="6" t="s">
        <v>262</v>
      </c>
      <c r="H71" s="7" t="s">
        <v>263</v>
      </c>
      <c r="I71" s="6" t="s">
        <v>90</v>
      </c>
      <c r="J71" s="6"/>
      <c r="K71" s="7" t="s">
        <v>27</v>
      </c>
      <c r="L71" s="6" t="n">
        <f aca="false">MAX(1,ROUND(0.3*Inputs!$B$4*Inputs!$B$5^(B71-1)*INDEX(Inputs!$C$15:$C$23,MATCH("mining",Inputs!$A$15:$A$23,0))*Inputs!$B$7*Inputs!$B$6^(D71-1)/Inputs!$B$12,0))</f>
        <v>74</v>
      </c>
      <c r="M71" s="6" t="s">
        <v>264</v>
      </c>
      <c r="N71" s="6" t="n">
        <v>1</v>
      </c>
      <c r="O71" s="6" t="s">
        <v>28</v>
      </c>
      <c r="P71" s="7"/>
      <c r="Q71" s="6" t="s">
        <v>265</v>
      </c>
      <c r="R71" s="8" t="b">
        <f aca="false">TRUE()</f>
        <v>1</v>
      </c>
      <c r="S71" s="6" t="s">
        <v>93</v>
      </c>
    </row>
    <row r="72" customFormat="false" ht="23.85" hidden="false" customHeight="false" outlineLevel="0" collapsed="false">
      <c r="A72" s="2" t="s">
        <v>224</v>
      </c>
      <c r="B72" s="2" t="n">
        <v>2</v>
      </c>
      <c r="C72" s="2" t="s">
        <v>94</v>
      </c>
      <c r="D72" s="2" t="n">
        <v>1</v>
      </c>
      <c r="E72" s="2" t="s">
        <v>95</v>
      </c>
      <c r="F72" s="2" t="s">
        <v>22</v>
      </c>
      <c r="G72" s="2" t="s">
        <v>225</v>
      </c>
      <c r="H72" s="3" t="s">
        <v>226</v>
      </c>
      <c r="I72" s="2" t="s">
        <v>266</v>
      </c>
      <c r="J72" s="2" t="s">
        <v>267</v>
      </c>
      <c r="K72" s="3" t="s">
        <v>98</v>
      </c>
      <c r="L72" s="2" t="n">
        <f aca="false">MAX(1,ROUND(0.7*Inputs!$B$4*Inputs!$B$5^(B72-1)*INDEX(Inputs!$C$15:$C$23,MATCH("mining",Inputs!$A$15:$A$23,0))*Inputs!$B$7*Inputs!$B$6^(D72-1)/Inputs!$B$12,0))</f>
        <v>54</v>
      </c>
      <c r="M72" s="2"/>
      <c r="N72" s="2"/>
      <c r="O72" s="2" t="s">
        <v>28</v>
      </c>
      <c r="P72" s="3"/>
      <c r="Q72" s="2" t="s">
        <v>229</v>
      </c>
      <c r="R72" s="2" t="n">
        <v>0.25</v>
      </c>
      <c r="S72" s="2" t="s">
        <v>233</v>
      </c>
    </row>
    <row r="73" customFormat="false" ht="15" hidden="false" customHeight="false" outlineLevel="0" collapsed="false">
      <c r="A73" s="2" t="s">
        <v>224</v>
      </c>
      <c r="B73" s="2" t="n">
        <v>2</v>
      </c>
      <c r="C73" s="2" t="s">
        <v>94</v>
      </c>
      <c r="D73" s="2" t="n">
        <v>2</v>
      </c>
      <c r="E73" s="2" t="s">
        <v>99</v>
      </c>
      <c r="F73" s="2" t="s">
        <v>22</v>
      </c>
      <c r="G73" s="2" t="s">
        <v>225</v>
      </c>
      <c r="H73" s="3" t="s">
        <v>231</v>
      </c>
      <c r="I73" s="2" t="s">
        <v>266</v>
      </c>
      <c r="J73" s="2" t="s">
        <v>268</v>
      </c>
      <c r="K73" s="3" t="s">
        <v>98</v>
      </c>
      <c r="L73" s="2" t="n">
        <f aca="false">MAX(1,ROUND(0.7*Inputs!$B$4*Inputs!$B$5^(B73-1)*INDEX(Inputs!$C$15:$C$23,MATCH("mining",Inputs!$A$15:$A$23,0))*Inputs!$B$7*Inputs!$B$6^(D73-1)/Inputs!$B$12,0))</f>
        <v>62</v>
      </c>
      <c r="M73" s="2"/>
      <c r="N73" s="2"/>
      <c r="O73" s="2" t="s">
        <v>28</v>
      </c>
      <c r="P73" s="3"/>
      <c r="Q73" s="2" t="s">
        <v>229</v>
      </c>
      <c r="R73" s="2" t="n">
        <v>0.25</v>
      </c>
      <c r="S73" s="2" t="s">
        <v>267</v>
      </c>
    </row>
    <row r="74" customFormat="false" ht="15" hidden="false" customHeight="false" outlineLevel="0" collapsed="false">
      <c r="A74" s="2" t="s">
        <v>224</v>
      </c>
      <c r="B74" s="2" t="n">
        <v>2</v>
      </c>
      <c r="C74" s="2" t="s">
        <v>94</v>
      </c>
      <c r="D74" s="2" t="n">
        <v>3</v>
      </c>
      <c r="E74" s="2" t="s">
        <v>101</v>
      </c>
      <c r="F74" s="2" t="s">
        <v>22</v>
      </c>
      <c r="G74" s="2" t="s">
        <v>225</v>
      </c>
      <c r="H74" s="3" t="s">
        <v>231</v>
      </c>
      <c r="I74" s="2" t="s">
        <v>266</v>
      </c>
      <c r="J74" s="2" t="s">
        <v>269</v>
      </c>
      <c r="K74" s="3" t="s">
        <v>98</v>
      </c>
      <c r="L74" s="2" t="n">
        <f aca="false">MAX(1,ROUND(0.7*Inputs!$B$4*Inputs!$B$5^(B74-1)*INDEX(Inputs!$C$15:$C$23,MATCH("mining",Inputs!$A$15:$A$23,0))*Inputs!$B$7*Inputs!$B$6^(D74-1)/Inputs!$B$12,0))</f>
        <v>71</v>
      </c>
      <c r="M74" s="2"/>
      <c r="N74" s="2"/>
      <c r="O74" s="2" t="s">
        <v>28</v>
      </c>
      <c r="P74" s="3"/>
      <c r="Q74" s="2" t="s">
        <v>229</v>
      </c>
      <c r="R74" s="2" t="n">
        <v>0.25</v>
      </c>
      <c r="S74" s="2" t="s">
        <v>268</v>
      </c>
    </row>
    <row r="75" customFormat="false" ht="23.85" hidden="false" customHeight="false" outlineLevel="0" collapsed="false">
      <c r="A75" s="2" t="s">
        <v>224</v>
      </c>
      <c r="B75" s="2" t="n">
        <v>2</v>
      </c>
      <c r="C75" s="2" t="s">
        <v>94</v>
      </c>
      <c r="D75" s="2" t="n">
        <v>4</v>
      </c>
      <c r="E75" s="2" t="s">
        <v>103</v>
      </c>
      <c r="F75" s="2" t="s">
        <v>22</v>
      </c>
      <c r="G75" s="2" t="s">
        <v>234</v>
      </c>
      <c r="H75" s="3" t="s">
        <v>235</v>
      </c>
      <c r="I75" s="2" t="s">
        <v>236</v>
      </c>
      <c r="J75" s="2" t="s">
        <v>270</v>
      </c>
      <c r="K75" s="3" t="s">
        <v>98</v>
      </c>
      <c r="L75" s="2" t="n">
        <f aca="false">MAX(1,ROUND(0.7*Inputs!$B$4*Inputs!$B$5^(B75-1)*INDEX(Inputs!$C$15:$C$23,MATCH("mining",Inputs!$A$15:$A$23,0))*Inputs!$B$7*Inputs!$B$6^(D75-1)/Inputs!$B$12,0))</f>
        <v>82</v>
      </c>
      <c r="M75" s="2"/>
      <c r="N75" s="2"/>
      <c r="O75" s="2" t="s">
        <v>28</v>
      </c>
      <c r="P75" s="3"/>
      <c r="Q75" s="2" t="s">
        <v>238</v>
      </c>
      <c r="R75" s="2" t="n">
        <v>0.083333</v>
      </c>
      <c r="S75" s="2" t="s">
        <v>241</v>
      </c>
    </row>
    <row r="76" customFormat="false" ht="15" hidden="false" customHeight="false" outlineLevel="0" collapsed="false">
      <c r="A76" s="2" t="s">
        <v>224</v>
      </c>
      <c r="B76" s="2" t="n">
        <v>2</v>
      </c>
      <c r="C76" s="2" t="s">
        <v>94</v>
      </c>
      <c r="D76" s="2" t="n">
        <v>5</v>
      </c>
      <c r="E76" s="2" t="s">
        <v>105</v>
      </c>
      <c r="F76" s="2" t="s">
        <v>22</v>
      </c>
      <c r="G76" s="2" t="s">
        <v>234</v>
      </c>
      <c r="H76" s="3" t="s">
        <v>240</v>
      </c>
      <c r="I76" s="2" t="s">
        <v>236</v>
      </c>
      <c r="J76" s="2" t="s">
        <v>271</v>
      </c>
      <c r="K76" s="3" t="s">
        <v>98</v>
      </c>
      <c r="L76" s="2" t="n">
        <f aca="false">MAX(1,ROUND(0.7*Inputs!$B$4*Inputs!$B$5^(B76-1)*INDEX(Inputs!$C$15:$C$23,MATCH("mining",Inputs!$A$15:$A$23,0))*Inputs!$B$7*Inputs!$B$6^(D76-1)/Inputs!$B$12,0))</f>
        <v>95</v>
      </c>
      <c r="M76" s="2"/>
      <c r="N76" s="2"/>
      <c r="O76" s="2" t="s">
        <v>28</v>
      </c>
      <c r="P76" s="3"/>
      <c r="Q76" s="2" t="s">
        <v>238</v>
      </c>
      <c r="R76" s="2" t="n">
        <v>0.083333</v>
      </c>
      <c r="S76" s="2" t="s">
        <v>270</v>
      </c>
    </row>
    <row r="77" customFormat="false" ht="23.85" hidden="false" customHeight="false" outlineLevel="0" collapsed="false">
      <c r="A77" s="2" t="s">
        <v>224</v>
      </c>
      <c r="B77" s="2" t="n">
        <v>2</v>
      </c>
      <c r="C77" s="2" t="s">
        <v>94</v>
      </c>
      <c r="D77" s="2" t="n">
        <v>6</v>
      </c>
      <c r="E77" s="2" t="s">
        <v>107</v>
      </c>
      <c r="F77" s="2" t="s">
        <v>22</v>
      </c>
      <c r="G77" s="2" t="s">
        <v>242</v>
      </c>
      <c r="H77" s="3" t="s">
        <v>243</v>
      </c>
      <c r="I77" s="2" t="s">
        <v>244</v>
      </c>
      <c r="J77" s="2" t="s">
        <v>272</v>
      </c>
      <c r="K77" s="3" t="s">
        <v>98</v>
      </c>
      <c r="L77" s="2" t="n">
        <f aca="false">MAX(1,ROUND(0.7*Inputs!$B$4*Inputs!$B$5^(B77-1)*INDEX(Inputs!$C$15:$C$23,MATCH("mining",Inputs!$A$15:$A$23,0))*Inputs!$B$7*Inputs!$B$6^(D77-1)/Inputs!$B$12,0))</f>
        <v>109</v>
      </c>
      <c r="M77" s="2"/>
      <c r="N77" s="2"/>
      <c r="O77" s="2" t="s">
        <v>28</v>
      </c>
      <c r="P77" s="3"/>
      <c r="Q77" s="2" t="s">
        <v>246</v>
      </c>
      <c r="R77" s="2" t="n">
        <v>0.02</v>
      </c>
      <c r="S77" s="2" t="s">
        <v>249</v>
      </c>
    </row>
    <row r="78" customFormat="false" ht="15" hidden="false" customHeight="false" outlineLevel="0" collapsed="false">
      <c r="A78" s="2" t="s">
        <v>224</v>
      </c>
      <c r="B78" s="2" t="n">
        <v>2</v>
      </c>
      <c r="C78" s="2" t="s">
        <v>94</v>
      </c>
      <c r="D78" s="2" t="n">
        <v>7</v>
      </c>
      <c r="E78" s="2" t="s">
        <v>109</v>
      </c>
      <c r="F78" s="2" t="s">
        <v>22</v>
      </c>
      <c r="G78" s="2" t="s">
        <v>242</v>
      </c>
      <c r="H78" s="3" t="s">
        <v>248</v>
      </c>
      <c r="I78" s="2" t="s">
        <v>244</v>
      </c>
      <c r="J78" s="2" t="s">
        <v>273</v>
      </c>
      <c r="K78" s="3" t="s">
        <v>98</v>
      </c>
      <c r="L78" s="2" t="n">
        <f aca="false">MAX(1,ROUND(0.7*Inputs!$B$4*Inputs!$B$5^(B78-1)*INDEX(Inputs!$C$15:$C$23,MATCH("mining",Inputs!$A$15:$A$23,0))*Inputs!$B$7*Inputs!$B$6^(D78-1)/Inputs!$B$12,0))</f>
        <v>125</v>
      </c>
      <c r="M78" s="2"/>
      <c r="N78" s="2"/>
      <c r="O78" s="2" t="s">
        <v>28</v>
      </c>
      <c r="P78" s="3"/>
      <c r="Q78" s="2" t="s">
        <v>246</v>
      </c>
      <c r="R78" s="2" t="n">
        <v>0.02</v>
      </c>
      <c r="S78" s="2" t="s">
        <v>272</v>
      </c>
    </row>
    <row r="79" customFormat="false" ht="23.85" hidden="false" customHeight="false" outlineLevel="0" collapsed="false">
      <c r="A79" s="4" t="s">
        <v>224</v>
      </c>
      <c r="B79" s="4" t="n">
        <v>2</v>
      </c>
      <c r="C79" s="4" t="s">
        <v>94</v>
      </c>
      <c r="D79" s="4" t="n">
        <v>8</v>
      </c>
      <c r="E79" s="4" t="s">
        <v>111</v>
      </c>
      <c r="F79" s="4" t="s">
        <v>72</v>
      </c>
      <c r="G79" s="4" t="s">
        <v>250</v>
      </c>
      <c r="H79" s="5" t="s">
        <v>251</v>
      </c>
      <c r="I79" s="4" t="s">
        <v>252</v>
      </c>
      <c r="J79" s="4" t="s">
        <v>274</v>
      </c>
      <c r="K79" s="5" t="s">
        <v>98</v>
      </c>
      <c r="L79" s="4" t="n">
        <f aca="false">MAX(1,ROUND(0.7*Inputs!$B$4*Inputs!$B$5^(B79-1)*INDEX(Inputs!$C$15:$C$23,MATCH("mining",Inputs!$A$15:$A$23,0))*Inputs!$B$7*Inputs!$B$6^(D79-1)/Inputs!$B$12,0))</f>
        <v>144</v>
      </c>
      <c r="M79" s="4"/>
      <c r="N79" s="4"/>
      <c r="O79" s="4" t="s">
        <v>28</v>
      </c>
      <c r="P79" s="5"/>
      <c r="Q79" s="4" t="s">
        <v>254</v>
      </c>
      <c r="R79" s="4" t="n">
        <v>1</v>
      </c>
      <c r="S79" s="4" t="s">
        <v>253</v>
      </c>
    </row>
    <row r="80" customFormat="false" ht="15" hidden="false" customHeight="false" outlineLevel="0" collapsed="false">
      <c r="A80" s="4" t="s">
        <v>224</v>
      </c>
      <c r="B80" s="4" t="n">
        <v>2</v>
      </c>
      <c r="C80" s="4" t="s">
        <v>94</v>
      </c>
      <c r="D80" s="4" t="n">
        <v>9</v>
      </c>
      <c r="E80" s="4" t="s">
        <v>113</v>
      </c>
      <c r="F80" s="4" t="s">
        <v>72</v>
      </c>
      <c r="G80" s="4" t="s">
        <v>256</v>
      </c>
      <c r="H80" s="5" t="s">
        <v>257</v>
      </c>
      <c r="I80" s="4" t="s">
        <v>258</v>
      </c>
      <c r="J80" s="4" t="s">
        <v>275</v>
      </c>
      <c r="K80" s="5" t="s">
        <v>98</v>
      </c>
      <c r="L80" s="4" t="n">
        <f aca="false">MAX(1,ROUND(0.7*Inputs!$B$4*Inputs!$B$5^(B80-1)*INDEX(Inputs!$C$15:$C$23,MATCH("mining",Inputs!$A$15:$A$23,0))*Inputs!$B$7*Inputs!$B$6^(D80-1)/Inputs!$B$12,0))</f>
        <v>165</v>
      </c>
      <c r="M80" s="4"/>
      <c r="N80" s="4"/>
      <c r="O80" s="4" t="s">
        <v>28</v>
      </c>
      <c r="P80" s="5"/>
      <c r="Q80" s="4" t="s">
        <v>260</v>
      </c>
      <c r="R80" s="4" t="n">
        <v>0.1</v>
      </c>
      <c r="S80" s="4" t="s">
        <v>259</v>
      </c>
    </row>
    <row r="81" customFormat="false" ht="15" hidden="false" customHeight="false" outlineLevel="0" collapsed="false">
      <c r="A81" s="6" t="s">
        <v>224</v>
      </c>
      <c r="B81" s="6" t="n">
        <v>2</v>
      </c>
      <c r="C81" s="6" t="s">
        <v>94</v>
      </c>
      <c r="D81" s="6" t="n">
        <v>10</v>
      </c>
      <c r="E81" s="6" t="s">
        <v>115</v>
      </c>
      <c r="F81" s="6" t="s">
        <v>87</v>
      </c>
      <c r="G81" s="6" t="s">
        <v>276</v>
      </c>
      <c r="H81" s="7" t="s">
        <v>277</v>
      </c>
      <c r="I81" s="6" t="s">
        <v>90</v>
      </c>
      <c r="J81" s="6"/>
      <c r="K81" s="7" t="s">
        <v>98</v>
      </c>
      <c r="L81" s="6" t="n">
        <f aca="false">MAX(1,ROUND(0.7*Inputs!$B$4*Inputs!$B$5^(B81-1)*INDEX(Inputs!$C$15:$C$23,MATCH("mining",Inputs!$A$15:$A$23,0))*Inputs!$B$7*Inputs!$B$6^(D81-1)/Inputs!$B$12,0))</f>
        <v>190</v>
      </c>
      <c r="M81" s="6" t="s">
        <v>278</v>
      </c>
      <c r="N81" s="6" t="n">
        <v>1</v>
      </c>
      <c r="O81" s="6" t="s">
        <v>28</v>
      </c>
      <c r="P81" s="7"/>
      <c r="Q81" s="6" t="s">
        <v>279</v>
      </c>
      <c r="R81" s="8" t="b">
        <f aca="false">TRUE()</f>
        <v>1</v>
      </c>
      <c r="S81" s="6" t="s">
        <v>93</v>
      </c>
    </row>
    <row r="82" customFormat="false" ht="23.85" hidden="false" customHeight="false" outlineLevel="0" collapsed="false">
      <c r="A82" s="2" t="s">
        <v>224</v>
      </c>
      <c r="B82" s="2" t="n">
        <v>3</v>
      </c>
      <c r="C82" s="2" t="s">
        <v>120</v>
      </c>
      <c r="D82" s="2" t="n">
        <v>1</v>
      </c>
      <c r="E82" s="2" t="s">
        <v>121</v>
      </c>
      <c r="F82" s="2" t="s">
        <v>22</v>
      </c>
      <c r="G82" s="2" t="s">
        <v>225</v>
      </c>
      <c r="H82" s="3" t="s">
        <v>226</v>
      </c>
      <c r="I82" s="2" t="s">
        <v>280</v>
      </c>
      <c r="J82" s="2" t="s">
        <v>281</v>
      </c>
      <c r="K82" s="3" t="s">
        <v>124</v>
      </c>
      <c r="L82" s="2" t="n">
        <f aca="false">MAX(1,ROUND(0.85*Inputs!$B$4*Inputs!$B$5^(B82-1)*INDEX(Inputs!$C$15:$C$23,MATCH("mining",Inputs!$A$15:$A$23,0))*Inputs!$B$7*Inputs!$B$6^(D82-1)/Inputs!$B$12,0))</f>
        <v>72</v>
      </c>
      <c r="M82" s="2"/>
      <c r="N82" s="2"/>
      <c r="O82" s="2" t="s">
        <v>28</v>
      </c>
      <c r="P82" s="3"/>
      <c r="Q82" s="2" t="s">
        <v>229</v>
      </c>
      <c r="R82" s="2" t="n">
        <v>0.375</v>
      </c>
      <c r="S82" s="2" t="s">
        <v>269</v>
      </c>
    </row>
    <row r="83" customFormat="false" ht="15" hidden="false" customHeight="false" outlineLevel="0" collapsed="false">
      <c r="A83" s="2" t="s">
        <v>224</v>
      </c>
      <c r="B83" s="2" t="n">
        <v>3</v>
      </c>
      <c r="C83" s="2" t="s">
        <v>120</v>
      </c>
      <c r="D83" s="2" t="n">
        <v>2</v>
      </c>
      <c r="E83" s="2" t="s">
        <v>125</v>
      </c>
      <c r="F83" s="2" t="s">
        <v>22</v>
      </c>
      <c r="G83" s="2" t="s">
        <v>225</v>
      </c>
      <c r="H83" s="3" t="s">
        <v>231</v>
      </c>
      <c r="I83" s="2" t="s">
        <v>280</v>
      </c>
      <c r="J83" s="2" t="s">
        <v>282</v>
      </c>
      <c r="K83" s="3" t="s">
        <v>124</v>
      </c>
      <c r="L83" s="2" t="n">
        <f aca="false">MAX(1,ROUND(0.85*Inputs!$B$4*Inputs!$B$5^(B83-1)*INDEX(Inputs!$C$15:$C$23,MATCH("mining",Inputs!$A$15:$A$23,0))*Inputs!$B$7*Inputs!$B$6^(D83-1)/Inputs!$B$12,0))</f>
        <v>83</v>
      </c>
      <c r="M83" s="2"/>
      <c r="N83" s="2"/>
      <c r="O83" s="2" t="s">
        <v>28</v>
      </c>
      <c r="P83" s="3"/>
      <c r="Q83" s="2" t="s">
        <v>229</v>
      </c>
      <c r="R83" s="2" t="n">
        <v>0.375</v>
      </c>
      <c r="S83" s="2" t="s">
        <v>281</v>
      </c>
    </row>
    <row r="84" customFormat="false" ht="15" hidden="false" customHeight="false" outlineLevel="0" collapsed="false">
      <c r="A84" s="2" t="s">
        <v>224</v>
      </c>
      <c r="B84" s="2" t="n">
        <v>3</v>
      </c>
      <c r="C84" s="2" t="s">
        <v>120</v>
      </c>
      <c r="D84" s="2" t="n">
        <v>3</v>
      </c>
      <c r="E84" s="2" t="s">
        <v>127</v>
      </c>
      <c r="F84" s="2" t="s">
        <v>22</v>
      </c>
      <c r="G84" s="2" t="s">
        <v>225</v>
      </c>
      <c r="H84" s="3" t="s">
        <v>231</v>
      </c>
      <c r="I84" s="2" t="s">
        <v>280</v>
      </c>
      <c r="J84" s="2" t="s">
        <v>283</v>
      </c>
      <c r="K84" s="3" t="s">
        <v>124</v>
      </c>
      <c r="L84" s="2" t="n">
        <f aca="false">MAX(1,ROUND(0.85*Inputs!$B$4*Inputs!$B$5^(B84-1)*INDEX(Inputs!$C$15:$C$23,MATCH("mining",Inputs!$A$15:$A$23,0))*Inputs!$B$7*Inputs!$B$6^(D84-1)/Inputs!$B$12,0))</f>
        <v>95</v>
      </c>
      <c r="M84" s="2"/>
      <c r="N84" s="2"/>
      <c r="O84" s="2" t="s">
        <v>28</v>
      </c>
      <c r="P84" s="3"/>
      <c r="Q84" s="2" t="s">
        <v>229</v>
      </c>
      <c r="R84" s="2" t="n">
        <v>0.375</v>
      </c>
      <c r="S84" s="2" t="s">
        <v>282</v>
      </c>
    </row>
    <row r="85" customFormat="false" ht="23.85" hidden="false" customHeight="false" outlineLevel="0" collapsed="false">
      <c r="A85" s="2" t="s">
        <v>224</v>
      </c>
      <c r="B85" s="2" t="n">
        <v>3</v>
      </c>
      <c r="C85" s="2" t="s">
        <v>120</v>
      </c>
      <c r="D85" s="2" t="n">
        <v>4</v>
      </c>
      <c r="E85" s="2" t="s">
        <v>129</v>
      </c>
      <c r="F85" s="2" t="s">
        <v>22</v>
      </c>
      <c r="G85" s="2" t="s">
        <v>234</v>
      </c>
      <c r="H85" s="3" t="s">
        <v>235</v>
      </c>
      <c r="I85" s="2" t="s">
        <v>236</v>
      </c>
      <c r="J85" s="2" t="s">
        <v>284</v>
      </c>
      <c r="K85" s="3" t="s">
        <v>124</v>
      </c>
      <c r="L85" s="2" t="n">
        <f aca="false">MAX(1,ROUND(0.85*Inputs!$B$4*Inputs!$B$5^(B85-1)*INDEX(Inputs!$C$15:$C$23,MATCH("mining",Inputs!$A$15:$A$23,0))*Inputs!$B$7*Inputs!$B$6^(D85-1)/Inputs!$B$12,0))</f>
        <v>110</v>
      </c>
      <c r="M85" s="2"/>
      <c r="N85" s="2"/>
      <c r="O85" s="2" t="s">
        <v>28</v>
      </c>
      <c r="P85" s="3"/>
      <c r="Q85" s="2" t="s">
        <v>238</v>
      </c>
      <c r="R85" s="2" t="n">
        <v>0.083333</v>
      </c>
      <c r="S85" s="2" t="s">
        <v>271</v>
      </c>
    </row>
    <row r="86" customFormat="false" ht="15" hidden="false" customHeight="false" outlineLevel="0" collapsed="false">
      <c r="A86" s="2" t="s">
        <v>224</v>
      </c>
      <c r="B86" s="2" t="n">
        <v>3</v>
      </c>
      <c r="C86" s="2" t="s">
        <v>120</v>
      </c>
      <c r="D86" s="2" t="n">
        <v>5</v>
      </c>
      <c r="E86" s="2" t="s">
        <v>131</v>
      </c>
      <c r="F86" s="2" t="s">
        <v>22</v>
      </c>
      <c r="G86" s="2" t="s">
        <v>234</v>
      </c>
      <c r="H86" s="3" t="s">
        <v>240</v>
      </c>
      <c r="I86" s="2" t="s">
        <v>236</v>
      </c>
      <c r="J86" s="2" t="s">
        <v>285</v>
      </c>
      <c r="K86" s="3" t="s">
        <v>124</v>
      </c>
      <c r="L86" s="2" t="n">
        <f aca="false">MAX(1,ROUND(0.85*Inputs!$B$4*Inputs!$B$5^(B86-1)*INDEX(Inputs!$C$15:$C$23,MATCH("mining",Inputs!$A$15:$A$23,0))*Inputs!$B$7*Inputs!$B$6^(D86-1)/Inputs!$B$12,0))</f>
        <v>126</v>
      </c>
      <c r="M86" s="2"/>
      <c r="N86" s="2"/>
      <c r="O86" s="2" t="s">
        <v>28</v>
      </c>
      <c r="P86" s="3"/>
      <c r="Q86" s="2" t="s">
        <v>238</v>
      </c>
      <c r="R86" s="2" t="n">
        <v>0.083333</v>
      </c>
      <c r="S86" s="2" t="s">
        <v>284</v>
      </c>
    </row>
    <row r="87" customFormat="false" ht="23.85" hidden="false" customHeight="false" outlineLevel="0" collapsed="false">
      <c r="A87" s="2" t="s">
        <v>224</v>
      </c>
      <c r="B87" s="2" t="n">
        <v>3</v>
      </c>
      <c r="C87" s="2" t="s">
        <v>120</v>
      </c>
      <c r="D87" s="2" t="n">
        <v>6</v>
      </c>
      <c r="E87" s="2" t="s">
        <v>133</v>
      </c>
      <c r="F87" s="2" t="s">
        <v>22</v>
      </c>
      <c r="G87" s="2" t="s">
        <v>242</v>
      </c>
      <c r="H87" s="3" t="s">
        <v>243</v>
      </c>
      <c r="I87" s="2" t="s">
        <v>244</v>
      </c>
      <c r="J87" s="2" t="s">
        <v>286</v>
      </c>
      <c r="K87" s="3" t="s">
        <v>124</v>
      </c>
      <c r="L87" s="2" t="n">
        <f aca="false">MAX(1,ROUND(0.85*Inputs!$B$4*Inputs!$B$5^(B87-1)*INDEX(Inputs!$C$15:$C$23,MATCH("mining",Inputs!$A$15:$A$23,0))*Inputs!$B$7*Inputs!$B$6^(D87-1)/Inputs!$B$12,0))</f>
        <v>145</v>
      </c>
      <c r="M87" s="2"/>
      <c r="N87" s="2"/>
      <c r="O87" s="2" t="s">
        <v>28</v>
      </c>
      <c r="P87" s="3"/>
      <c r="Q87" s="2" t="s">
        <v>246</v>
      </c>
      <c r="R87" s="2" t="n">
        <v>0.02</v>
      </c>
      <c r="S87" s="2" t="s">
        <v>273</v>
      </c>
    </row>
    <row r="88" customFormat="false" ht="15" hidden="false" customHeight="false" outlineLevel="0" collapsed="false">
      <c r="A88" s="2" t="s">
        <v>224</v>
      </c>
      <c r="B88" s="2" t="n">
        <v>3</v>
      </c>
      <c r="C88" s="2" t="s">
        <v>120</v>
      </c>
      <c r="D88" s="2" t="n">
        <v>7</v>
      </c>
      <c r="E88" s="2" t="s">
        <v>135</v>
      </c>
      <c r="F88" s="2" t="s">
        <v>22</v>
      </c>
      <c r="G88" s="2" t="s">
        <v>242</v>
      </c>
      <c r="H88" s="3" t="s">
        <v>248</v>
      </c>
      <c r="I88" s="2" t="s">
        <v>244</v>
      </c>
      <c r="J88" s="2" t="s">
        <v>287</v>
      </c>
      <c r="K88" s="3" t="s">
        <v>124</v>
      </c>
      <c r="L88" s="2" t="n">
        <f aca="false">MAX(1,ROUND(0.85*Inputs!$B$4*Inputs!$B$5^(B88-1)*INDEX(Inputs!$C$15:$C$23,MATCH("mining",Inputs!$A$15:$A$23,0))*Inputs!$B$7*Inputs!$B$6^(D88-1)/Inputs!$B$12,0))</f>
        <v>167</v>
      </c>
      <c r="M88" s="2"/>
      <c r="N88" s="2"/>
      <c r="O88" s="2" t="s">
        <v>28</v>
      </c>
      <c r="P88" s="3"/>
      <c r="Q88" s="2" t="s">
        <v>246</v>
      </c>
      <c r="R88" s="2" t="n">
        <v>0.02</v>
      </c>
      <c r="S88" s="2" t="s">
        <v>286</v>
      </c>
    </row>
    <row r="89" customFormat="false" ht="23.85" hidden="false" customHeight="false" outlineLevel="0" collapsed="false">
      <c r="A89" s="4" t="s">
        <v>224</v>
      </c>
      <c r="B89" s="4" t="n">
        <v>3</v>
      </c>
      <c r="C89" s="4" t="s">
        <v>120</v>
      </c>
      <c r="D89" s="4" t="n">
        <v>8</v>
      </c>
      <c r="E89" s="4" t="s">
        <v>137</v>
      </c>
      <c r="F89" s="4" t="s">
        <v>72</v>
      </c>
      <c r="G89" s="4" t="s">
        <v>250</v>
      </c>
      <c r="H89" s="5" t="s">
        <v>251</v>
      </c>
      <c r="I89" s="4" t="s">
        <v>252</v>
      </c>
      <c r="J89" s="4" t="s">
        <v>288</v>
      </c>
      <c r="K89" s="5" t="s">
        <v>124</v>
      </c>
      <c r="L89" s="4" t="n">
        <f aca="false">MAX(1,ROUND(0.85*Inputs!$B$4*Inputs!$B$5^(B89-1)*INDEX(Inputs!$C$15:$C$23,MATCH("mining",Inputs!$A$15:$A$23,0))*Inputs!$B$7*Inputs!$B$6^(D89-1)/Inputs!$B$12,0))</f>
        <v>192</v>
      </c>
      <c r="M89" s="4"/>
      <c r="N89" s="4"/>
      <c r="O89" s="4" t="s">
        <v>28</v>
      </c>
      <c r="P89" s="5"/>
      <c r="Q89" s="4" t="s">
        <v>254</v>
      </c>
      <c r="R89" s="4" t="n">
        <v>1</v>
      </c>
      <c r="S89" s="4" t="s">
        <v>274</v>
      </c>
    </row>
    <row r="90" customFormat="false" ht="15" hidden="false" customHeight="false" outlineLevel="0" collapsed="false">
      <c r="A90" s="4" t="s">
        <v>224</v>
      </c>
      <c r="B90" s="4" t="n">
        <v>3</v>
      </c>
      <c r="C90" s="4" t="s">
        <v>120</v>
      </c>
      <c r="D90" s="4" t="n">
        <v>9</v>
      </c>
      <c r="E90" s="4" t="s">
        <v>139</v>
      </c>
      <c r="F90" s="4" t="s">
        <v>72</v>
      </c>
      <c r="G90" s="4" t="s">
        <v>256</v>
      </c>
      <c r="H90" s="5" t="s">
        <v>257</v>
      </c>
      <c r="I90" s="4" t="s">
        <v>258</v>
      </c>
      <c r="J90" s="4" t="s">
        <v>289</v>
      </c>
      <c r="K90" s="5" t="s">
        <v>124</v>
      </c>
      <c r="L90" s="4" t="n">
        <f aca="false">MAX(1,ROUND(0.85*Inputs!$B$4*Inputs!$B$5^(B90-1)*INDEX(Inputs!$C$15:$C$23,MATCH("mining",Inputs!$A$15:$A$23,0))*Inputs!$B$7*Inputs!$B$6^(D90-1)/Inputs!$B$12,0))</f>
        <v>221</v>
      </c>
      <c r="M90" s="4"/>
      <c r="N90" s="4"/>
      <c r="O90" s="4" t="s">
        <v>28</v>
      </c>
      <c r="P90" s="5"/>
      <c r="Q90" s="4" t="s">
        <v>260</v>
      </c>
      <c r="R90" s="4" t="n">
        <v>0.1</v>
      </c>
      <c r="S90" s="4" t="s">
        <v>275</v>
      </c>
    </row>
    <row r="91" customFormat="false" ht="35.05" hidden="false" customHeight="false" outlineLevel="0" collapsed="false">
      <c r="A91" s="6" t="s">
        <v>224</v>
      </c>
      <c r="B91" s="6" t="n">
        <v>3</v>
      </c>
      <c r="C91" s="6" t="s">
        <v>120</v>
      </c>
      <c r="D91" s="6" t="n">
        <v>10</v>
      </c>
      <c r="E91" s="6" t="s">
        <v>141</v>
      </c>
      <c r="F91" s="6" t="s">
        <v>87</v>
      </c>
      <c r="G91" s="6" t="s">
        <v>290</v>
      </c>
      <c r="H91" s="7" t="s">
        <v>291</v>
      </c>
      <c r="I91" s="6" t="s">
        <v>90</v>
      </c>
      <c r="J91" s="6"/>
      <c r="K91" s="7" t="s">
        <v>124</v>
      </c>
      <c r="L91" s="6" t="n">
        <f aca="false">MAX(1,ROUND(0.85*Inputs!$B$4*Inputs!$B$5^(B91-1)*INDEX(Inputs!$C$15:$C$23,MATCH("mining",Inputs!$A$15:$A$23,0))*Inputs!$B$7*Inputs!$B$6^(D91-1)/Inputs!$B$12,0))</f>
        <v>254</v>
      </c>
      <c r="M91" s="6" t="s">
        <v>292</v>
      </c>
      <c r="N91" s="6" t="n">
        <v>2</v>
      </c>
      <c r="O91" s="6" t="s">
        <v>28</v>
      </c>
      <c r="P91" s="7"/>
      <c r="Q91" s="6" t="s">
        <v>293</v>
      </c>
      <c r="R91" s="8" t="b">
        <f aca="false">TRUE()</f>
        <v>1</v>
      </c>
      <c r="S91" s="6" t="s">
        <v>93</v>
      </c>
    </row>
    <row r="92" customFormat="false" ht="23.85" hidden="false" customHeight="false" outlineLevel="0" collapsed="false">
      <c r="A92" s="2" t="s">
        <v>224</v>
      </c>
      <c r="B92" s="2" t="n">
        <v>4</v>
      </c>
      <c r="C92" s="2" t="s">
        <v>146</v>
      </c>
      <c r="D92" s="2" t="n">
        <v>1</v>
      </c>
      <c r="E92" s="2" t="s">
        <v>147</v>
      </c>
      <c r="F92" s="2" t="s">
        <v>22</v>
      </c>
      <c r="G92" s="2" t="s">
        <v>225</v>
      </c>
      <c r="H92" s="3" t="s">
        <v>226</v>
      </c>
      <c r="I92" s="2" t="s">
        <v>294</v>
      </c>
      <c r="J92" s="2" t="s">
        <v>295</v>
      </c>
      <c r="K92" s="3" t="s">
        <v>150</v>
      </c>
      <c r="L92" s="2" t="n">
        <f aca="false">MAX(1,ROUND(0.75*Inputs!$B$4*Inputs!$B$5^(B92-1)*INDEX(Inputs!$C$15:$C$23,MATCH("mining",Inputs!$A$15:$A$23,0))*Inputs!$B$7*Inputs!$B$6^(D92-1)/Inputs!$B$12,0))</f>
        <v>70</v>
      </c>
      <c r="M92" s="2"/>
      <c r="N92" s="2"/>
      <c r="O92" s="2" t="s">
        <v>28</v>
      </c>
      <c r="P92" s="3"/>
      <c r="Q92" s="2" t="s">
        <v>229</v>
      </c>
      <c r="R92" s="2" t="n">
        <v>0.5625</v>
      </c>
      <c r="S92" s="2" t="s">
        <v>283</v>
      </c>
    </row>
    <row r="93" customFormat="false" ht="15" hidden="false" customHeight="false" outlineLevel="0" collapsed="false">
      <c r="A93" s="2" t="s">
        <v>224</v>
      </c>
      <c r="B93" s="2" t="n">
        <v>4</v>
      </c>
      <c r="C93" s="2" t="s">
        <v>146</v>
      </c>
      <c r="D93" s="2" t="n">
        <v>2</v>
      </c>
      <c r="E93" s="2" t="s">
        <v>151</v>
      </c>
      <c r="F93" s="2" t="s">
        <v>22</v>
      </c>
      <c r="G93" s="2" t="s">
        <v>225</v>
      </c>
      <c r="H93" s="3" t="s">
        <v>231</v>
      </c>
      <c r="I93" s="2" t="s">
        <v>294</v>
      </c>
      <c r="J93" s="2" t="s">
        <v>296</v>
      </c>
      <c r="K93" s="3" t="s">
        <v>150</v>
      </c>
      <c r="L93" s="2" t="n">
        <f aca="false">MAX(1,ROUND(0.75*Inputs!$B$4*Inputs!$B$5^(B93-1)*INDEX(Inputs!$C$15:$C$23,MATCH("mining",Inputs!$A$15:$A$23,0))*Inputs!$B$7*Inputs!$B$6^(D93-1)/Inputs!$B$12,0))</f>
        <v>81</v>
      </c>
      <c r="M93" s="2"/>
      <c r="N93" s="2"/>
      <c r="O93" s="2" t="s">
        <v>28</v>
      </c>
      <c r="P93" s="3"/>
      <c r="Q93" s="2" t="s">
        <v>229</v>
      </c>
      <c r="R93" s="2" t="n">
        <v>0.5625</v>
      </c>
      <c r="S93" s="2" t="s">
        <v>295</v>
      </c>
    </row>
    <row r="94" customFormat="false" ht="15" hidden="false" customHeight="false" outlineLevel="0" collapsed="false">
      <c r="A94" s="2" t="s">
        <v>224</v>
      </c>
      <c r="B94" s="2" t="n">
        <v>4</v>
      </c>
      <c r="C94" s="2" t="s">
        <v>146</v>
      </c>
      <c r="D94" s="2" t="n">
        <v>3</v>
      </c>
      <c r="E94" s="2" t="s">
        <v>153</v>
      </c>
      <c r="F94" s="2" t="s">
        <v>22</v>
      </c>
      <c r="G94" s="2" t="s">
        <v>225</v>
      </c>
      <c r="H94" s="3" t="s">
        <v>231</v>
      </c>
      <c r="I94" s="2" t="s">
        <v>294</v>
      </c>
      <c r="J94" s="2" t="s">
        <v>297</v>
      </c>
      <c r="K94" s="3" t="s">
        <v>150</v>
      </c>
      <c r="L94" s="2" t="n">
        <f aca="false">MAX(1,ROUND(0.75*Inputs!$B$4*Inputs!$B$5^(B94-1)*INDEX(Inputs!$C$15:$C$23,MATCH("mining",Inputs!$A$15:$A$23,0))*Inputs!$B$7*Inputs!$B$6^(D94-1)/Inputs!$B$12,0))</f>
        <v>93</v>
      </c>
      <c r="M94" s="2"/>
      <c r="N94" s="2"/>
      <c r="O94" s="2" t="s">
        <v>28</v>
      </c>
      <c r="P94" s="3"/>
      <c r="Q94" s="2" t="s">
        <v>229</v>
      </c>
      <c r="R94" s="2" t="n">
        <v>0.5625</v>
      </c>
      <c r="S94" s="2" t="s">
        <v>296</v>
      </c>
    </row>
    <row r="95" customFormat="false" ht="23.85" hidden="false" customHeight="false" outlineLevel="0" collapsed="false">
      <c r="A95" s="2" t="s">
        <v>224</v>
      </c>
      <c r="B95" s="2" t="n">
        <v>4</v>
      </c>
      <c r="C95" s="2" t="s">
        <v>146</v>
      </c>
      <c r="D95" s="2" t="n">
        <v>4</v>
      </c>
      <c r="E95" s="2" t="s">
        <v>155</v>
      </c>
      <c r="F95" s="2" t="s">
        <v>22</v>
      </c>
      <c r="G95" s="2" t="s">
        <v>234</v>
      </c>
      <c r="H95" s="3" t="s">
        <v>235</v>
      </c>
      <c r="I95" s="2" t="s">
        <v>236</v>
      </c>
      <c r="J95" s="2" t="s">
        <v>298</v>
      </c>
      <c r="K95" s="3" t="s">
        <v>150</v>
      </c>
      <c r="L95" s="2" t="n">
        <f aca="false">MAX(1,ROUND(0.75*Inputs!$B$4*Inputs!$B$5^(B95-1)*INDEX(Inputs!$C$15:$C$23,MATCH("mining",Inputs!$A$15:$A$23,0))*Inputs!$B$7*Inputs!$B$6^(D95-1)/Inputs!$B$12,0))</f>
        <v>107</v>
      </c>
      <c r="M95" s="2"/>
      <c r="N95" s="2"/>
      <c r="O95" s="2" t="s">
        <v>28</v>
      </c>
      <c r="P95" s="3"/>
      <c r="Q95" s="2" t="s">
        <v>238</v>
      </c>
      <c r="R95" s="2" t="n">
        <v>0.083333</v>
      </c>
      <c r="S95" s="2" t="s">
        <v>285</v>
      </c>
    </row>
    <row r="96" customFormat="false" ht="15" hidden="false" customHeight="false" outlineLevel="0" collapsed="false">
      <c r="A96" s="2" t="s">
        <v>224</v>
      </c>
      <c r="B96" s="2" t="n">
        <v>4</v>
      </c>
      <c r="C96" s="2" t="s">
        <v>146</v>
      </c>
      <c r="D96" s="2" t="n">
        <v>5</v>
      </c>
      <c r="E96" s="2" t="s">
        <v>157</v>
      </c>
      <c r="F96" s="2" t="s">
        <v>22</v>
      </c>
      <c r="G96" s="2" t="s">
        <v>234</v>
      </c>
      <c r="H96" s="3" t="s">
        <v>240</v>
      </c>
      <c r="I96" s="2" t="s">
        <v>236</v>
      </c>
      <c r="J96" s="2" t="s">
        <v>299</v>
      </c>
      <c r="K96" s="3" t="s">
        <v>150</v>
      </c>
      <c r="L96" s="2" t="n">
        <f aca="false">MAX(1,ROUND(0.75*Inputs!$B$4*Inputs!$B$5^(B96-1)*INDEX(Inputs!$C$15:$C$23,MATCH("mining",Inputs!$A$15:$A$23,0))*Inputs!$B$7*Inputs!$B$6^(D96-1)/Inputs!$B$12,0))</f>
        <v>123</v>
      </c>
      <c r="M96" s="2"/>
      <c r="N96" s="2"/>
      <c r="O96" s="2" t="s">
        <v>28</v>
      </c>
      <c r="P96" s="3"/>
      <c r="Q96" s="2" t="s">
        <v>238</v>
      </c>
      <c r="R96" s="2" t="n">
        <v>0.083333</v>
      </c>
      <c r="S96" s="2" t="s">
        <v>298</v>
      </c>
    </row>
    <row r="97" customFormat="false" ht="23.85" hidden="false" customHeight="false" outlineLevel="0" collapsed="false">
      <c r="A97" s="2" t="s">
        <v>224</v>
      </c>
      <c r="B97" s="2" t="n">
        <v>4</v>
      </c>
      <c r="C97" s="2" t="s">
        <v>146</v>
      </c>
      <c r="D97" s="2" t="n">
        <v>6</v>
      </c>
      <c r="E97" s="2" t="s">
        <v>159</v>
      </c>
      <c r="F97" s="2" t="s">
        <v>22</v>
      </c>
      <c r="G97" s="2" t="s">
        <v>242</v>
      </c>
      <c r="H97" s="3" t="s">
        <v>243</v>
      </c>
      <c r="I97" s="2" t="s">
        <v>244</v>
      </c>
      <c r="J97" s="2" t="s">
        <v>300</v>
      </c>
      <c r="K97" s="3" t="s">
        <v>150</v>
      </c>
      <c r="L97" s="2" t="n">
        <f aca="false">MAX(1,ROUND(0.75*Inputs!$B$4*Inputs!$B$5^(B97-1)*INDEX(Inputs!$C$15:$C$23,MATCH("mining",Inputs!$A$15:$A$23,0))*Inputs!$B$7*Inputs!$B$6^(D97-1)/Inputs!$B$12,0))</f>
        <v>141</v>
      </c>
      <c r="M97" s="2"/>
      <c r="N97" s="2"/>
      <c r="O97" s="2" t="s">
        <v>28</v>
      </c>
      <c r="P97" s="3"/>
      <c r="Q97" s="2" t="s">
        <v>246</v>
      </c>
      <c r="R97" s="2" t="n">
        <v>0.02</v>
      </c>
      <c r="S97" s="2" t="s">
        <v>287</v>
      </c>
    </row>
    <row r="98" customFormat="false" ht="15" hidden="false" customHeight="false" outlineLevel="0" collapsed="false">
      <c r="A98" s="2" t="s">
        <v>224</v>
      </c>
      <c r="B98" s="2" t="n">
        <v>4</v>
      </c>
      <c r="C98" s="2" t="s">
        <v>146</v>
      </c>
      <c r="D98" s="2" t="n">
        <v>7</v>
      </c>
      <c r="E98" s="2" t="s">
        <v>161</v>
      </c>
      <c r="F98" s="2" t="s">
        <v>22</v>
      </c>
      <c r="G98" s="2" t="s">
        <v>242</v>
      </c>
      <c r="H98" s="3" t="s">
        <v>248</v>
      </c>
      <c r="I98" s="2" t="s">
        <v>244</v>
      </c>
      <c r="J98" s="2" t="s">
        <v>301</v>
      </c>
      <c r="K98" s="3" t="s">
        <v>150</v>
      </c>
      <c r="L98" s="2" t="n">
        <f aca="false">MAX(1,ROUND(0.75*Inputs!$B$4*Inputs!$B$5^(B98-1)*INDEX(Inputs!$C$15:$C$23,MATCH("mining",Inputs!$A$15:$A$23,0))*Inputs!$B$7*Inputs!$B$6^(D98-1)/Inputs!$B$12,0))</f>
        <v>162</v>
      </c>
      <c r="M98" s="2"/>
      <c r="N98" s="2"/>
      <c r="O98" s="2" t="s">
        <v>28</v>
      </c>
      <c r="P98" s="3"/>
      <c r="Q98" s="2" t="s">
        <v>246</v>
      </c>
      <c r="R98" s="2" t="n">
        <v>0.02</v>
      </c>
      <c r="S98" s="2" t="s">
        <v>300</v>
      </c>
    </row>
    <row r="99" customFormat="false" ht="23.85" hidden="false" customHeight="false" outlineLevel="0" collapsed="false">
      <c r="A99" s="4" t="s">
        <v>224</v>
      </c>
      <c r="B99" s="4" t="n">
        <v>4</v>
      </c>
      <c r="C99" s="4" t="s">
        <v>146</v>
      </c>
      <c r="D99" s="4" t="n">
        <v>8</v>
      </c>
      <c r="E99" s="4" t="s">
        <v>163</v>
      </c>
      <c r="F99" s="4" t="s">
        <v>72</v>
      </c>
      <c r="G99" s="4" t="s">
        <v>250</v>
      </c>
      <c r="H99" s="5" t="s">
        <v>251</v>
      </c>
      <c r="I99" s="4" t="s">
        <v>252</v>
      </c>
      <c r="J99" s="4" t="s">
        <v>302</v>
      </c>
      <c r="K99" s="5" t="s">
        <v>150</v>
      </c>
      <c r="L99" s="4" t="n">
        <f aca="false">MAX(1,ROUND(0.75*Inputs!$B$4*Inputs!$B$5^(B99-1)*INDEX(Inputs!$C$15:$C$23,MATCH("mining",Inputs!$A$15:$A$23,0))*Inputs!$B$7*Inputs!$B$6^(D99-1)/Inputs!$B$12,0))</f>
        <v>186</v>
      </c>
      <c r="M99" s="4"/>
      <c r="N99" s="4"/>
      <c r="O99" s="4" t="s">
        <v>28</v>
      </c>
      <c r="P99" s="5"/>
      <c r="Q99" s="4" t="s">
        <v>254</v>
      </c>
      <c r="R99" s="4" t="n">
        <v>1</v>
      </c>
      <c r="S99" s="4" t="s">
        <v>288</v>
      </c>
    </row>
    <row r="100" customFormat="false" ht="15" hidden="false" customHeight="false" outlineLevel="0" collapsed="false">
      <c r="A100" s="4" t="s">
        <v>224</v>
      </c>
      <c r="B100" s="4" t="n">
        <v>4</v>
      </c>
      <c r="C100" s="4" t="s">
        <v>146</v>
      </c>
      <c r="D100" s="4" t="n">
        <v>9</v>
      </c>
      <c r="E100" s="4" t="s">
        <v>165</v>
      </c>
      <c r="F100" s="4" t="s">
        <v>72</v>
      </c>
      <c r="G100" s="4" t="s">
        <v>256</v>
      </c>
      <c r="H100" s="5" t="s">
        <v>257</v>
      </c>
      <c r="I100" s="4" t="s">
        <v>258</v>
      </c>
      <c r="J100" s="4" t="s">
        <v>303</v>
      </c>
      <c r="K100" s="5" t="s">
        <v>150</v>
      </c>
      <c r="L100" s="4" t="n">
        <f aca="false">MAX(1,ROUND(0.75*Inputs!$B$4*Inputs!$B$5^(B100-1)*INDEX(Inputs!$C$15:$C$23,MATCH("mining",Inputs!$A$15:$A$23,0))*Inputs!$B$7*Inputs!$B$6^(D100-1)/Inputs!$B$12,0))</f>
        <v>214</v>
      </c>
      <c r="M100" s="4"/>
      <c r="N100" s="4"/>
      <c r="O100" s="4" t="s">
        <v>28</v>
      </c>
      <c r="P100" s="5"/>
      <c r="Q100" s="4" t="s">
        <v>260</v>
      </c>
      <c r="R100" s="4" t="n">
        <v>0.1</v>
      </c>
      <c r="S100" s="4" t="s">
        <v>289</v>
      </c>
    </row>
    <row r="101" customFormat="false" ht="23.85" hidden="false" customHeight="false" outlineLevel="0" collapsed="false">
      <c r="A101" s="6" t="s">
        <v>224</v>
      </c>
      <c r="B101" s="6" t="n">
        <v>4</v>
      </c>
      <c r="C101" s="6" t="s">
        <v>146</v>
      </c>
      <c r="D101" s="6" t="n">
        <v>10</v>
      </c>
      <c r="E101" s="6" t="s">
        <v>167</v>
      </c>
      <c r="F101" s="6" t="s">
        <v>87</v>
      </c>
      <c r="G101" s="6" t="s">
        <v>304</v>
      </c>
      <c r="H101" s="7" t="s">
        <v>305</v>
      </c>
      <c r="I101" s="6" t="s">
        <v>90</v>
      </c>
      <c r="J101" s="6"/>
      <c r="K101" s="7" t="s">
        <v>150</v>
      </c>
      <c r="L101" s="6" t="n">
        <f aca="false">MAX(1,ROUND(0.75*Inputs!$B$4*Inputs!$B$5^(B101-1)*INDEX(Inputs!$C$15:$C$23,MATCH("mining",Inputs!$A$15:$A$23,0))*Inputs!$B$7*Inputs!$B$6^(D101-1)/Inputs!$B$12,0))</f>
        <v>246</v>
      </c>
      <c r="M101" s="6" t="s">
        <v>306</v>
      </c>
      <c r="N101" s="6" t="n">
        <v>2</v>
      </c>
      <c r="O101" s="6" t="s">
        <v>28</v>
      </c>
      <c r="P101" s="7"/>
      <c r="Q101" s="6" t="s">
        <v>307</v>
      </c>
      <c r="R101" s="8" t="b">
        <f aca="false">TRUE()</f>
        <v>1</v>
      </c>
      <c r="S101" s="6" t="s">
        <v>93</v>
      </c>
    </row>
    <row r="102" customFormat="false" ht="23.85" hidden="false" customHeight="false" outlineLevel="0" collapsed="false">
      <c r="A102" s="2" t="s">
        <v>224</v>
      </c>
      <c r="B102" s="2" t="n">
        <v>5</v>
      </c>
      <c r="C102" s="2" t="s">
        <v>172</v>
      </c>
      <c r="D102" s="2" t="n">
        <v>1</v>
      </c>
      <c r="E102" s="2" t="s">
        <v>173</v>
      </c>
      <c r="F102" s="2" t="s">
        <v>22</v>
      </c>
      <c r="G102" s="2" t="s">
        <v>225</v>
      </c>
      <c r="H102" s="3" t="s">
        <v>226</v>
      </c>
      <c r="I102" s="2" t="s">
        <v>308</v>
      </c>
      <c r="J102" s="2" t="s">
        <v>309</v>
      </c>
      <c r="K102" s="3" t="s">
        <v>176</v>
      </c>
      <c r="L102" s="2" t="n">
        <f aca="false">MAX(1,ROUND(0.75*Inputs!$B$4*Inputs!$B$5^(B102-1)*INDEX(Inputs!$C$15:$C$23,MATCH("mining",Inputs!$A$15:$A$23,0))*Inputs!$B$7*Inputs!$B$6^(D102-1)/Inputs!$B$12,0))</f>
        <v>77</v>
      </c>
      <c r="M102" s="2"/>
      <c r="N102" s="2"/>
      <c r="O102" s="2" t="s">
        <v>28</v>
      </c>
      <c r="P102" s="3"/>
      <c r="Q102" s="2" t="s">
        <v>229</v>
      </c>
      <c r="R102" s="2" t="n">
        <v>0.8438</v>
      </c>
      <c r="S102" s="2" t="s">
        <v>297</v>
      </c>
    </row>
    <row r="103" customFormat="false" ht="15" hidden="false" customHeight="false" outlineLevel="0" collapsed="false">
      <c r="A103" s="2" t="s">
        <v>224</v>
      </c>
      <c r="B103" s="2" t="n">
        <v>5</v>
      </c>
      <c r="C103" s="2" t="s">
        <v>172</v>
      </c>
      <c r="D103" s="2" t="n">
        <v>2</v>
      </c>
      <c r="E103" s="2" t="s">
        <v>177</v>
      </c>
      <c r="F103" s="2" t="s">
        <v>22</v>
      </c>
      <c r="G103" s="2" t="s">
        <v>225</v>
      </c>
      <c r="H103" s="3" t="s">
        <v>231</v>
      </c>
      <c r="I103" s="2" t="s">
        <v>308</v>
      </c>
      <c r="J103" s="2" t="s">
        <v>310</v>
      </c>
      <c r="K103" s="3" t="s">
        <v>176</v>
      </c>
      <c r="L103" s="2" t="n">
        <f aca="false">MAX(1,ROUND(0.75*Inputs!$B$4*Inputs!$B$5^(B103-1)*INDEX(Inputs!$C$15:$C$23,MATCH("mining",Inputs!$A$15:$A$23,0))*Inputs!$B$7*Inputs!$B$6^(D103-1)/Inputs!$B$12,0))</f>
        <v>89</v>
      </c>
      <c r="M103" s="2"/>
      <c r="N103" s="2"/>
      <c r="O103" s="2" t="s">
        <v>28</v>
      </c>
      <c r="P103" s="3"/>
      <c r="Q103" s="2" t="s">
        <v>229</v>
      </c>
      <c r="R103" s="2" t="n">
        <v>0.8438</v>
      </c>
      <c r="S103" s="2" t="s">
        <v>309</v>
      </c>
    </row>
    <row r="104" customFormat="false" ht="15" hidden="false" customHeight="false" outlineLevel="0" collapsed="false">
      <c r="A104" s="2" t="s">
        <v>224</v>
      </c>
      <c r="B104" s="2" t="n">
        <v>5</v>
      </c>
      <c r="C104" s="2" t="s">
        <v>172</v>
      </c>
      <c r="D104" s="2" t="n">
        <v>3</v>
      </c>
      <c r="E104" s="2" t="s">
        <v>179</v>
      </c>
      <c r="F104" s="2" t="s">
        <v>22</v>
      </c>
      <c r="G104" s="2" t="s">
        <v>225</v>
      </c>
      <c r="H104" s="3" t="s">
        <v>231</v>
      </c>
      <c r="I104" s="2" t="s">
        <v>308</v>
      </c>
      <c r="J104" s="2" t="s">
        <v>311</v>
      </c>
      <c r="K104" s="3" t="s">
        <v>176</v>
      </c>
      <c r="L104" s="2" t="n">
        <f aca="false">MAX(1,ROUND(0.75*Inputs!$B$4*Inputs!$B$5^(B104-1)*INDEX(Inputs!$C$15:$C$23,MATCH("mining",Inputs!$A$15:$A$23,0))*Inputs!$B$7*Inputs!$B$6^(D104-1)/Inputs!$B$12,0))</f>
        <v>102</v>
      </c>
      <c r="M104" s="2"/>
      <c r="N104" s="2"/>
      <c r="O104" s="2" t="s">
        <v>28</v>
      </c>
      <c r="P104" s="3"/>
      <c r="Q104" s="2" t="s">
        <v>229</v>
      </c>
      <c r="R104" s="2" t="n">
        <v>0.8438</v>
      </c>
      <c r="S104" s="2" t="s">
        <v>310</v>
      </c>
    </row>
    <row r="105" customFormat="false" ht="23.85" hidden="false" customHeight="false" outlineLevel="0" collapsed="false">
      <c r="A105" s="2" t="s">
        <v>224</v>
      </c>
      <c r="B105" s="2" t="n">
        <v>5</v>
      </c>
      <c r="C105" s="2" t="s">
        <v>172</v>
      </c>
      <c r="D105" s="2" t="n">
        <v>4</v>
      </c>
      <c r="E105" s="2" t="s">
        <v>181</v>
      </c>
      <c r="F105" s="2" t="s">
        <v>22</v>
      </c>
      <c r="G105" s="2" t="s">
        <v>234</v>
      </c>
      <c r="H105" s="3" t="s">
        <v>235</v>
      </c>
      <c r="I105" s="2" t="s">
        <v>236</v>
      </c>
      <c r="J105" s="2" t="s">
        <v>312</v>
      </c>
      <c r="K105" s="3" t="s">
        <v>176</v>
      </c>
      <c r="L105" s="2" t="n">
        <f aca="false">MAX(1,ROUND(0.75*Inputs!$B$4*Inputs!$B$5^(B105-1)*INDEX(Inputs!$C$15:$C$23,MATCH("mining",Inputs!$A$15:$A$23,0))*Inputs!$B$7*Inputs!$B$6^(D105-1)/Inputs!$B$12,0))</f>
        <v>117</v>
      </c>
      <c r="M105" s="2"/>
      <c r="N105" s="2"/>
      <c r="O105" s="2" t="s">
        <v>28</v>
      </c>
      <c r="P105" s="3"/>
      <c r="Q105" s="2" t="s">
        <v>238</v>
      </c>
      <c r="R105" s="2" t="n">
        <v>0.083333</v>
      </c>
      <c r="S105" s="2" t="s">
        <v>299</v>
      </c>
    </row>
    <row r="106" customFormat="false" ht="15" hidden="false" customHeight="false" outlineLevel="0" collapsed="false">
      <c r="A106" s="2" t="s">
        <v>224</v>
      </c>
      <c r="B106" s="2" t="n">
        <v>5</v>
      </c>
      <c r="C106" s="2" t="s">
        <v>172</v>
      </c>
      <c r="D106" s="2" t="n">
        <v>5</v>
      </c>
      <c r="E106" s="2" t="s">
        <v>183</v>
      </c>
      <c r="F106" s="2" t="s">
        <v>22</v>
      </c>
      <c r="G106" s="2" t="s">
        <v>234</v>
      </c>
      <c r="H106" s="3" t="s">
        <v>240</v>
      </c>
      <c r="I106" s="2" t="s">
        <v>236</v>
      </c>
      <c r="J106" s="2" t="s">
        <v>313</v>
      </c>
      <c r="K106" s="3" t="s">
        <v>176</v>
      </c>
      <c r="L106" s="2" t="n">
        <f aca="false">MAX(1,ROUND(0.75*Inputs!$B$4*Inputs!$B$5^(B106-1)*INDEX(Inputs!$C$15:$C$23,MATCH("mining",Inputs!$A$15:$A$23,0))*Inputs!$B$7*Inputs!$B$6^(D106-1)/Inputs!$B$12,0))</f>
        <v>135</v>
      </c>
      <c r="M106" s="2"/>
      <c r="N106" s="2"/>
      <c r="O106" s="2" t="s">
        <v>28</v>
      </c>
      <c r="P106" s="3"/>
      <c r="Q106" s="2" t="s">
        <v>238</v>
      </c>
      <c r="R106" s="2" t="n">
        <v>0.083333</v>
      </c>
      <c r="S106" s="2" t="s">
        <v>312</v>
      </c>
    </row>
    <row r="107" customFormat="false" ht="23.85" hidden="false" customHeight="false" outlineLevel="0" collapsed="false">
      <c r="A107" s="2" t="s">
        <v>224</v>
      </c>
      <c r="B107" s="2" t="n">
        <v>5</v>
      </c>
      <c r="C107" s="2" t="s">
        <v>172</v>
      </c>
      <c r="D107" s="2" t="n">
        <v>6</v>
      </c>
      <c r="E107" s="2" t="s">
        <v>185</v>
      </c>
      <c r="F107" s="2" t="s">
        <v>22</v>
      </c>
      <c r="G107" s="2" t="s">
        <v>242</v>
      </c>
      <c r="H107" s="3" t="s">
        <v>243</v>
      </c>
      <c r="I107" s="2" t="s">
        <v>244</v>
      </c>
      <c r="J107" s="2" t="s">
        <v>314</v>
      </c>
      <c r="K107" s="3" t="s">
        <v>176</v>
      </c>
      <c r="L107" s="2" t="n">
        <f aca="false">MAX(1,ROUND(0.75*Inputs!$B$4*Inputs!$B$5^(B107-1)*INDEX(Inputs!$C$15:$C$23,MATCH("mining",Inputs!$A$15:$A$23,0))*Inputs!$B$7*Inputs!$B$6^(D107-1)/Inputs!$B$12,0))</f>
        <v>155</v>
      </c>
      <c r="M107" s="2"/>
      <c r="N107" s="2"/>
      <c r="O107" s="2" t="s">
        <v>28</v>
      </c>
      <c r="P107" s="3"/>
      <c r="Q107" s="2" t="s">
        <v>246</v>
      </c>
      <c r="R107" s="2" t="n">
        <v>0.02</v>
      </c>
      <c r="S107" s="2" t="s">
        <v>301</v>
      </c>
    </row>
    <row r="108" customFormat="false" ht="15" hidden="false" customHeight="false" outlineLevel="0" collapsed="false">
      <c r="A108" s="2" t="s">
        <v>224</v>
      </c>
      <c r="B108" s="2" t="n">
        <v>5</v>
      </c>
      <c r="C108" s="2" t="s">
        <v>172</v>
      </c>
      <c r="D108" s="2" t="n">
        <v>7</v>
      </c>
      <c r="E108" s="2" t="s">
        <v>187</v>
      </c>
      <c r="F108" s="2" t="s">
        <v>22</v>
      </c>
      <c r="G108" s="2" t="s">
        <v>242</v>
      </c>
      <c r="H108" s="3" t="s">
        <v>248</v>
      </c>
      <c r="I108" s="2" t="s">
        <v>244</v>
      </c>
      <c r="J108" s="2" t="s">
        <v>315</v>
      </c>
      <c r="K108" s="3" t="s">
        <v>176</v>
      </c>
      <c r="L108" s="2" t="n">
        <f aca="false">MAX(1,ROUND(0.75*Inputs!$B$4*Inputs!$B$5^(B108-1)*INDEX(Inputs!$C$15:$C$23,MATCH("mining",Inputs!$A$15:$A$23,0))*Inputs!$B$7*Inputs!$B$6^(D108-1)/Inputs!$B$12,0))</f>
        <v>178</v>
      </c>
      <c r="M108" s="2"/>
      <c r="N108" s="2"/>
      <c r="O108" s="2" t="s">
        <v>28</v>
      </c>
      <c r="P108" s="3"/>
      <c r="Q108" s="2" t="s">
        <v>246</v>
      </c>
      <c r="R108" s="2" t="n">
        <v>0.02</v>
      </c>
      <c r="S108" s="2" t="s">
        <v>314</v>
      </c>
    </row>
    <row r="109" customFormat="false" ht="23.85" hidden="false" customHeight="false" outlineLevel="0" collapsed="false">
      <c r="A109" s="4" t="s">
        <v>224</v>
      </c>
      <c r="B109" s="4" t="n">
        <v>5</v>
      </c>
      <c r="C109" s="4" t="s">
        <v>172</v>
      </c>
      <c r="D109" s="4" t="n">
        <v>8</v>
      </c>
      <c r="E109" s="4" t="s">
        <v>189</v>
      </c>
      <c r="F109" s="4" t="s">
        <v>72</v>
      </c>
      <c r="G109" s="4" t="s">
        <v>250</v>
      </c>
      <c r="H109" s="5" t="s">
        <v>251</v>
      </c>
      <c r="I109" s="4" t="s">
        <v>252</v>
      </c>
      <c r="J109" s="4" t="s">
        <v>316</v>
      </c>
      <c r="K109" s="5" t="s">
        <v>176</v>
      </c>
      <c r="L109" s="4" t="n">
        <f aca="false">MAX(1,ROUND(0.75*Inputs!$B$4*Inputs!$B$5^(B109-1)*INDEX(Inputs!$C$15:$C$23,MATCH("mining",Inputs!$A$15:$A$23,0))*Inputs!$B$7*Inputs!$B$6^(D109-1)/Inputs!$B$12,0))</f>
        <v>205</v>
      </c>
      <c r="M109" s="4"/>
      <c r="N109" s="4"/>
      <c r="O109" s="4" t="s">
        <v>28</v>
      </c>
      <c r="P109" s="5"/>
      <c r="Q109" s="4" t="s">
        <v>254</v>
      </c>
      <c r="R109" s="4" t="n">
        <v>1</v>
      </c>
      <c r="S109" s="4" t="s">
        <v>302</v>
      </c>
    </row>
    <row r="110" customFormat="false" ht="15" hidden="false" customHeight="false" outlineLevel="0" collapsed="false">
      <c r="A110" s="4" t="s">
        <v>224</v>
      </c>
      <c r="B110" s="4" t="n">
        <v>5</v>
      </c>
      <c r="C110" s="4" t="s">
        <v>172</v>
      </c>
      <c r="D110" s="4" t="n">
        <v>9</v>
      </c>
      <c r="E110" s="4" t="s">
        <v>191</v>
      </c>
      <c r="F110" s="4" t="s">
        <v>72</v>
      </c>
      <c r="G110" s="4" t="s">
        <v>256</v>
      </c>
      <c r="H110" s="5" t="s">
        <v>257</v>
      </c>
      <c r="I110" s="4" t="s">
        <v>258</v>
      </c>
      <c r="J110" s="4" t="s">
        <v>317</v>
      </c>
      <c r="K110" s="5" t="s">
        <v>176</v>
      </c>
      <c r="L110" s="4" t="n">
        <f aca="false">MAX(1,ROUND(0.75*Inputs!$B$4*Inputs!$B$5^(B110-1)*INDEX(Inputs!$C$15:$C$23,MATCH("mining",Inputs!$A$15:$A$23,0))*Inputs!$B$7*Inputs!$B$6^(D110-1)/Inputs!$B$12,0))</f>
        <v>236</v>
      </c>
      <c r="M110" s="4"/>
      <c r="N110" s="4"/>
      <c r="O110" s="4" t="s">
        <v>28</v>
      </c>
      <c r="P110" s="5"/>
      <c r="Q110" s="4" t="s">
        <v>260</v>
      </c>
      <c r="R110" s="4" t="n">
        <v>0.1</v>
      </c>
      <c r="S110" s="4" t="s">
        <v>303</v>
      </c>
    </row>
    <row r="111" customFormat="false" ht="23.85" hidden="false" customHeight="false" outlineLevel="0" collapsed="false">
      <c r="A111" s="6" t="s">
        <v>224</v>
      </c>
      <c r="B111" s="6" t="n">
        <v>5</v>
      </c>
      <c r="C111" s="6" t="s">
        <v>172</v>
      </c>
      <c r="D111" s="6" t="n">
        <v>10</v>
      </c>
      <c r="E111" s="6" t="s">
        <v>193</v>
      </c>
      <c r="F111" s="6" t="s">
        <v>87</v>
      </c>
      <c r="G111" s="6" t="s">
        <v>318</v>
      </c>
      <c r="H111" s="7" t="s">
        <v>319</v>
      </c>
      <c r="I111" s="6" t="s">
        <v>90</v>
      </c>
      <c r="J111" s="6"/>
      <c r="K111" s="7" t="s">
        <v>176</v>
      </c>
      <c r="L111" s="6" t="n">
        <f aca="false">MAX(1,ROUND(0.75*Inputs!$B$4*Inputs!$B$5^(B111-1)*INDEX(Inputs!$C$15:$C$23,MATCH("mining",Inputs!$A$15:$A$23,0))*Inputs!$B$7*Inputs!$B$6^(D111-1)/Inputs!$B$12,0))</f>
        <v>271</v>
      </c>
      <c r="M111" s="6" t="s">
        <v>320</v>
      </c>
      <c r="N111" s="6" t="n">
        <v>2</v>
      </c>
      <c r="O111" s="6" t="s">
        <v>28</v>
      </c>
      <c r="P111" s="7"/>
      <c r="Q111" s="6" t="s">
        <v>321</v>
      </c>
      <c r="R111" s="8" t="b">
        <f aca="false">TRUE()</f>
        <v>1</v>
      </c>
      <c r="S111" s="6" t="s">
        <v>93</v>
      </c>
    </row>
    <row r="112" customFormat="false" ht="23.85" hidden="false" customHeight="false" outlineLevel="0" collapsed="false">
      <c r="A112" s="2" t="s">
        <v>224</v>
      </c>
      <c r="B112" s="2" t="n">
        <v>6</v>
      </c>
      <c r="C112" s="2" t="s">
        <v>198</v>
      </c>
      <c r="D112" s="2" t="n">
        <v>1</v>
      </c>
      <c r="E112" s="2" t="s">
        <v>199</v>
      </c>
      <c r="F112" s="2" t="s">
        <v>22</v>
      </c>
      <c r="G112" s="2" t="s">
        <v>225</v>
      </c>
      <c r="H112" s="3" t="s">
        <v>226</v>
      </c>
      <c r="I112" s="2" t="s">
        <v>322</v>
      </c>
      <c r="J112" s="2" t="s">
        <v>323</v>
      </c>
      <c r="K112" s="3" t="s">
        <v>202</v>
      </c>
      <c r="L112" s="2" t="n">
        <f aca="false">MAX(1,ROUND(1*Inputs!$B$4*Inputs!$B$5^(B112-1)*INDEX(Inputs!$C$15:$C$23,MATCH("mining",Inputs!$A$15:$A$23,0))*Inputs!$B$7*Inputs!$B$6^(D112-1)/Inputs!$B$12,0))</f>
        <v>113</v>
      </c>
      <c r="M112" s="2"/>
      <c r="N112" s="2"/>
      <c r="O112" s="2" t="s">
        <v>28</v>
      </c>
      <c r="P112" s="3"/>
      <c r="Q112" s="2" t="s">
        <v>229</v>
      </c>
      <c r="R112" s="2" t="n">
        <v>1.2656</v>
      </c>
      <c r="S112" s="2" t="s">
        <v>311</v>
      </c>
    </row>
    <row r="113" customFormat="false" ht="15" hidden="false" customHeight="false" outlineLevel="0" collapsed="false">
      <c r="A113" s="2" t="s">
        <v>224</v>
      </c>
      <c r="B113" s="2" t="n">
        <v>6</v>
      </c>
      <c r="C113" s="2" t="s">
        <v>198</v>
      </c>
      <c r="D113" s="2" t="n">
        <v>2</v>
      </c>
      <c r="E113" s="2" t="s">
        <v>203</v>
      </c>
      <c r="F113" s="2" t="s">
        <v>22</v>
      </c>
      <c r="G113" s="2" t="s">
        <v>225</v>
      </c>
      <c r="H113" s="3" t="s">
        <v>231</v>
      </c>
      <c r="I113" s="2" t="s">
        <v>322</v>
      </c>
      <c r="J113" s="2" t="s">
        <v>324</v>
      </c>
      <c r="K113" s="3" t="s">
        <v>202</v>
      </c>
      <c r="L113" s="2" t="n">
        <f aca="false">MAX(1,ROUND(1*Inputs!$B$4*Inputs!$B$5^(B113-1)*INDEX(Inputs!$C$15:$C$23,MATCH("mining",Inputs!$A$15:$A$23,0))*Inputs!$B$7*Inputs!$B$6^(D113-1)/Inputs!$B$12,0))</f>
        <v>130</v>
      </c>
      <c r="M113" s="2"/>
      <c r="N113" s="2"/>
      <c r="O113" s="2" t="s">
        <v>28</v>
      </c>
      <c r="P113" s="3"/>
      <c r="Q113" s="2" t="s">
        <v>229</v>
      </c>
      <c r="R113" s="2" t="n">
        <v>1.2656</v>
      </c>
      <c r="S113" s="2" t="s">
        <v>323</v>
      </c>
    </row>
    <row r="114" customFormat="false" ht="15" hidden="false" customHeight="false" outlineLevel="0" collapsed="false">
      <c r="A114" s="2" t="s">
        <v>224</v>
      </c>
      <c r="B114" s="2" t="n">
        <v>6</v>
      </c>
      <c r="C114" s="2" t="s">
        <v>198</v>
      </c>
      <c r="D114" s="2" t="n">
        <v>3</v>
      </c>
      <c r="E114" s="2" t="s">
        <v>205</v>
      </c>
      <c r="F114" s="2" t="s">
        <v>22</v>
      </c>
      <c r="G114" s="2" t="s">
        <v>225</v>
      </c>
      <c r="H114" s="3" t="s">
        <v>231</v>
      </c>
      <c r="I114" s="2" t="s">
        <v>322</v>
      </c>
      <c r="J114" s="2" t="s">
        <v>325</v>
      </c>
      <c r="K114" s="3" t="s">
        <v>202</v>
      </c>
      <c r="L114" s="2" t="n">
        <f aca="false">MAX(1,ROUND(1*Inputs!$B$4*Inputs!$B$5^(B114-1)*INDEX(Inputs!$C$15:$C$23,MATCH("mining",Inputs!$A$15:$A$23,0))*Inputs!$B$7*Inputs!$B$6^(D114-1)/Inputs!$B$12,0))</f>
        <v>149</v>
      </c>
      <c r="M114" s="2"/>
      <c r="N114" s="2"/>
      <c r="O114" s="2" t="s">
        <v>28</v>
      </c>
      <c r="P114" s="3"/>
      <c r="Q114" s="2" t="s">
        <v>229</v>
      </c>
      <c r="R114" s="2" t="n">
        <v>1.2656</v>
      </c>
      <c r="S114" s="2" t="s">
        <v>324</v>
      </c>
    </row>
    <row r="115" customFormat="false" ht="23.85" hidden="false" customHeight="false" outlineLevel="0" collapsed="false">
      <c r="A115" s="2" t="s">
        <v>224</v>
      </c>
      <c r="B115" s="2" t="n">
        <v>6</v>
      </c>
      <c r="C115" s="2" t="s">
        <v>198</v>
      </c>
      <c r="D115" s="2" t="n">
        <v>4</v>
      </c>
      <c r="E115" s="2" t="s">
        <v>207</v>
      </c>
      <c r="F115" s="2" t="s">
        <v>22</v>
      </c>
      <c r="G115" s="2" t="s">
        <v>234</v>
      </c>
      <c r="H115" s="3" t="s">
        <v>235</v>
      </c>
      <c r="I115" s="2" t="s">
        <v>236</v>
      </c>
      <c r="J115" s="2" t="s">
        <v>326</v>
      </c>
      <c r="K115" s="3" t="s">
        <v>202</v>
      </c>
      <c r="L115" s="2" t="n">
        <f aca="false">MAX(1,ROUND(1*Inputs!$B$4*Inputs!$B$5^(B115-1)*INDEX(Inputs!$C$15:$C$23,MATCH("mining",Inputs!$A$15:$A$23,0))*Inputs!$B$7*Inputs!$B$6^(D115-1)/Inputs!$B$12,0))</f>
        <v>172</v>
      </c>
      <c r="M115" s="2"/>
      <c r="N115" s="2"/>
      <c r="O115" s="2" t="s">
        <v>28</v>
      </c>
      <c r="P115" s="3"/>
      <c r="Q115" s="2" t="s">
        <v>238</v>
      </c>
      <c r="R115" s="2" t="n">
        <v>0.083333</v>
      </c>
      <c r="S115" s="2" t="s">
        <v>313</v>
      </c>
    </row>
    <row r="116" customFormat="false" ht="15" hidden="false" customHeight="false" outlineLevel="0" collapsed="false">
      <c r="A116" s="2" t="s">
        <v>224</v>
      </c>
      <c r="B116" s="2" t="n">
        <v>6</v>
      </c>
      <c r="C116" s="2" t="s">
        <v>198</v>
      </c>
      <c r="D116" s="2" t="n">
        <v>5</v>
      </c>
      <c r="E116" s="2" t="s">
        <v>209</v>
      </c>
      <c r="F116" s="2" t="s">
        <v>22</v>
      </c>
      <c r="G116" s="2" t="s">
        <v>234</v>
      </c>
      <c r="H116" s="3" t="s">
        <v>240</v>
      </c>
      <c r="I116" s="2" t="s">
        <v>236</v>
      </c>
      <c r="J116" s="2" t="s">
        <v>327</v>
      </c>
      <c r="K116" s="3" t="s">
        <v>202</v>
      </c>
      <c r="L116" s="2" t="n">
        <f aca="false">MAX(1,ROUND(1*Inputs!$B$4*Inputs!$B$5^(B116-1)*INDEX(Inputs!$C$15:$C$23,MATCH("mining",Inputs!$A$15:$A$23,0))*Inputs!$B$7*Inputs!$B$6^(D116-1)/Inputs!$B$12,0))</f>
        <v>198</v>
      </c>
      <c r="M116" s="2"/>
      <c r="N116" s="2"/>
      <c r="O116" s="2" t="s">
        <v>28</v>
      </c>
      <c r="P116" s="3"/>
      <c r="Q116" s="2" t="s">
        <v>238</v>
      </c>
      <c r="R116" s="2" t="n">
        <v>0.083333</v>
      </c>
      <c r="S116" s="2" t="s">
        <v>326</v>
      </c>
    </row>
    <row r="117" customFormat="false" ht="23.85" hidden="false" customHeight="false" outlineLevel="0" collapsed="false">
      <c r="A117" s="2" t="s">
        <v>224</v>
      </c>
      <c r="B117" s="2" t="n">
        <v>6</v>
      </c>
      <c r="C117" s="2" t="s">
        <v>198</v>
      </c>
      <c r="D117" s="2" t="n">
        <v>6</v>
      </c>
      <c r="E117" s="2" t="s">
        <v>211</v>
      </c>
      <c r="F117" s="2" t="s">
        <v>22</v>
      </c>
      <c r="G117" s="2" t="s">
        <v>242</v>
      </c>
      <c r="H117" s="3" t="s">
        <v>243</v>
      </c>
      <c r="I117" s="2" t="s">
        <v>244</v>
      </c>
      <c r="J117" s="2" t="s">
        <v>328</v>
      </c>
      <c r="K117" s="3" t="s">
        <v>202</v>
      </c>
      <c r="L117" s="2" t="n">
        <f aca="false">MAX(1,ROUND(1*Inputs!$B$4*Inputs!$B$5^(B117-1)*INDEX(Inputs!$C$15:$C$23,MATCH("mining",Inputs!$A$15:$A$23,0))*Inputs!$B$7*Inputs!$B$6^(D117-1)/Inputs!$B$12,0))</f>
        <v>227</v>
      </c>
      <c r="M117" s="2"/>
      <c r="N117" s="2"/>
      <c r="O117" s="2" t="s">
        <v>28</v>
      </c>
      <c r="P117" s="3"/>
      <c r="Q117" s="2" t="s">
        <v>246</v>
      </c>
      <c r="R117" s="2" t="n">
        <v>0.02</v>
      </c>
      <c r="S117" s="2" t="s">
        <v>315</v>
      </c>
    </row>
    <row r="118" customFormat="false" ht="15" hidden="false" customHeight="false" outlineLevel="0" collapsed="false">
      <c r="A118" s="2" t="s">
        <v>224</v>
      </c>
      <c r="B118" s="2" t="n">
        <v>6</v>
      </c>
      <c r="C118" s="2" t="s">
        <v>198</v>
      </c>
      <c r="D118" s="2" t="n">
        <v>7</v>
      </c>
      <c r="E118" s="2" t="s">
        <v>213</v>
      </c>
      <c r="F118" s="2" t="s">
        <v>22</v>
      </c>
      <c r="G118" s="2" t="s">
        <v>242</v>
      </c>
      <c r="H118" s="3" t="s">
        <v>248</v>
      </c>
      <c r="I118" s="2" t="s">
        <v>244</v>
      </c>
      <c r="J118" s="2" t="s">
        <v>329</v>
      </c>
      <c r="K118" s="3" t="s">
        <v>202</v>
      </c>
      <c r="L118" s="2" t="n">
        <f aca="false">MAX(1,ROUND(1*Inputs!$B$4*Inputs!$B$5^(B118-1)*INDEX(Inputs!$C$15:$C$23,MATCH("mining",Inputs!$A$15:$A$23,0))*Inputs!$B$7*Inputs!$B$6^(D118-1)/Inputs!$B$12,0))</f>
        <v>261</v>
      </c>
      <c r="M118" s="2"/>
      <c r="N118" s="2"/>
      <c r="O118" s="2" t="s">
        <v>28</v>
      </c>
      <c r="P118" s="3"/>
      <c r="Q118" s="2" t="s">
        <v>246</v>
      </c>
      <c r="R118" s="2" t="n">
        <v>0.02</v>
      </c>
      <c r="S118" s="2" t="s">
        <v>328</v>
      </c>
    </row>
    <row r="119" customFormat="false" ht="23.85" hidden="false" customHeight="false" outlineLevel="0" collapsed="false">
      <c r="A119" s="4" t="s">
        <v>224</v>
      </c>
      <c r="B119" s="4" t="n">
        <v>6</v>
      </c>
      <c r="C119" s="4" t="s">
        <v>198</v>
      </c>
      <c r="D119" s="4" t="n">
        <v>8</v>
      </c>
      <c r="E119" s="4" t="s">
        <v>215</v>
      </c>
      <c r="F119" s="4" t="s">
        <v>72</v>
      </c>
      <c r="G119" s="4" t="s">
        <v>250</v>
      </c>
      <c r="H119" s="5" t="s">
        <v>251</v>
      </c>
      <c r="I119" s="4" t="s">
        <v>252</v>
      </c>
      <c r="J119" s="4" t="s">
        <v>330</v>
      </c>
      <c r="K119" s="5" t="s">
        <v>202</v>
      </c>
      <c r="L119" s="4" t="n">
        <f aca="false">MAX(1,ROUND(1*Inputs!$B$4*Inputs!$B$5^(B119-1)*INDEX(Inputs!$C$15:$C$23,MATCH("mining",Inputs!$A$15:$A$23,0))*Inputs!$B$7*Inputs!$B$6^(D119-1)/Inputs!$B$12,0))</f>
        <v>301</v>
      </c>
      <c r="M119" s="4"/>
      <c r="N119" s="4"/>
      <c r="O119" s="4" t="s">
        <v>28</v>
      </c>
      <c r="P119" s="5"/>
      <c r="Q119" s="4" t="s">
        <v>254</v>
      </c>
      <c r="R119" s="4" t="n">
        <v>1</v>
      </c>
      <c r="S119" s="4" t="s">
        <v>316</v>
      </c>
    </row>
    <row r="120" customFormat="false" ht="15" hidden="false" customHeight="false" outlineLevel="0" collapsed="false">
      <c r="A120" s="4" t="s">
        <v>224</v>
      </c>
      <c r="B120" s="4" t="n">
        <v>6</v>
      </c>
      <c r="C120" s="4" t="s">
        <v>198</v>
      </c>
      <c r="D120" s="4" t="n">
        <v>9</v>
      </c>
      <c r="E120" s="4" t="s">
        <v>217</v>
      </c>
      <c r="F120" s="4" t="s">
        <v>72</v>
      </c>
      <c r="G120" s="4" t="s">
        <v>256</v>
      </c>
      <c r="H120" s="5" t="s">
        <v>257</v>
      </c>
      <c r="I120" s="4" t="s">
        <v>258</v>
      </c>
      <c r="J120" s="4" t="s">
        <v>331</v>
      </c>
      <c r="K120" s="5" t="s">
        <v>202</v>
      </c>
      <c r="L120" s="4" t="n">
        <f aca="false">MAX(1,ROUND(1*Inputs!$B$4*Inputs!$B$5^(B120-1)*INDEX(Inputs!$C$15:$C$23,MATCH("mining",Inputs!$A$15:$A$23,0))*Inputs!$B$7*Inputs!$B$6^(D120-1)/Inputs!$B$12,0))</f>
        <v>346</v>
      </c>
      <c r="M120" s="4"/>
      <c r="N120" s="4"/>
      <c r="O120" s="4" t="s">
        <v>28</v>
      </c>
      <c r="P120" s="5"/>
      <c r="Q120" s="4" t="s">
        <v>260</v>
      </c>
      <c r="R120" s="4" t="n">
        <v>0.1</v>
      </c>
      <c r="S120" s="4" t="s">
        <v>317</v>
      </c>
    </row>
    <row r="121" customFormat="false" ht="23.85" hidden="false" customHeight="false" outlineLevel="0" collapsed="false">
      <c r="A121" s="6" t="s">
        <v>224</v>
      </c>
      <c r="B121" s="6" t="n">
        <v>6</v>
      </c>
      <c r="C121" s="6" t="s">
        <v>198</v>
      </c>
      <c r="D121" s="6" t="n">
        <v>10</v>
      </c>
      <c r="E121" s="6" t="s">
        <v>219</v>
      </c>
      <c r="F121" s="6" t="s">
        <v>87</v>
      </c>
      <c r="G121" s="6" t="s">
        <v>332</v>
      </c>
      <c r="H121" s="7" t="s">
        <v>333</v>
      </c>
      <c r="I121" s="6" t="s">
        <v>90</v>
      </c>
      <c r="J121" s="6"/>
      <c r="K121" s="7" t="s">
        <v>202</v>
      </c>
      <c r="L121" s="6" t="n">
        <f aca="false">MAX(1,ROUND(1*Inputs!$B$4*Inputs!$B$5^(B121-1)*INDEX(Inputs!$C$15:$C$23,MATCH("mining",Inputs!$A$15:$A$23,0))*Inputs!$B$7*Inputs!$B$6^(D121-1)/Inputs!$B$12,0))</f>
        <v>398</v>
      </c>
      <c r="M121" s="6" t="s">
        <v>334</v>
      </c>
      <c r="N121" s="6" t="n">
        <v>2</v>
      </c>
      <c r="O121" s="6" t="s">
        <v>28</v>
      </c>
      <c r="P121" s="7"/>
      <c r="Q121" s="6" t="s">
        <v>335</v>
      </c>
      <c r="R121" s="8" t="b">
        <f aca="false">TRUE()</f>
        <v>1</v>
      </c>
      <c r="S121" s="6" t="s">
        <v>93</v>
      </c>
    </row>
    <row r="122" customFormat="false" ht="23.85" hidden="false" customHeight="false" outlineLevel="0" collapsed="false">
      <c r="A122" s="2" t="s">
        <v>336</v>
      </c>
      <c r="B122" s="2" t="n">
        <v>1</v>
      </c>
      <c r="C122" s="2" t="s">
        <v>20</v>
      </c>
      <c r="D122" s="2" t="n">
        <v>1</v>
      </c>
      <c r="E122" s="2" t="s">
        <v>21</v>
      </c>
      <c r="F122" s="2" t="s">
        <v>22</v>
      </c>
      <c r="G122" s="2" t="s">
        <v>225</v>
      </c>
      <c r="H122" s="3" t="s">
        <v>337</v>
      </c>
      <c r="I122" s="2" t="s">
        <v>227</v>
      </c>
      <c r="J122" s="2" t="s">
        <v>228</v>
      </c>
      <c r="K122" s="3" t="s">
        <v>338</v>
      </c>
      <c r="L122" s="2" t="n">
        <f aca="false">MAX(1,ROUND(0.3*Inputs!$B$4*Inputs!$B$5^(B122-1)*INDEX(Inputs!$C$15:$C$23,MATCH("parsing",Inputs!$A$15:$A$23,0))/3*Inputs!$B$7*Inputs!$B$6^(D122-1)/Inputs!$B$12,0))</f>
        <v>11</v>
      </c>
      <c r="M122" s="2"/>
      <c r="N122" s="2"/>
      <c r="O122" s="2" t="s">
        <v>339</v>
      </c>
      <c r="P122" s="3"/>
      <c r="Q122" s="2" t="s">
        <v>340</v>
      </c>
      <c r="R122" s="2" t="n">
        <v>0.1667</v>
      </c>
      <c r="S122" s="2" t="s">
        <v>230</v>
      </c>
    </row>
    <row r="123" customFormat="false" ht="23.85" hidden="false" customHeight="false" outlineLevel="0" collapsed="false">
      <c r="A123" s="2" t="s">
        <v>336</v>
      </c>
      <c r="B123" s="2" t="n">
        <v>1</v>
      </c>
      <c r="C123" s="2" t="s">
        <v>20</v>
      </c>
      <c r="D123" s="2" t="n">
        <v>2</v>
      </c>
      <c r="E123" s="2" t="s">
        <v>31</v>
      </c>
      <c r="F123" s="2" t="s">
        <v>22</v>
      </c>
      <c r="G123" s="2" t="s">
        <v>225</v>
      </c>
      <c r="H123" s="3" t="s">
        <v>341</v>
      </c>
      <c r="I123" s="2" t="s">
        <v>227</v>
      </c>
      <c r="J123" s="2" t="s">
        <v>232</v>
      </c>
      <c r="K123" s="3" t="s">
        <v>338</v>
      </c>
      <c r="L123" s="2" t="n">
        <f aca="false">MAX(1,ROUND(0.3*Inputs!$B$4*Inputs!$B$5^(B123-1)*INDEX(Inputs!$C$15:$C$23,MATCH("parsing",Inputs!$A$15:$A$23,0))/3*Inputs!$B$7*Inputs!$B$6^(D123-1)/Inputs!$B$12,0))</f>
        <v>13</v>
      </c>
      <c r="M123" s="2"/>
      <c r="N123" s="2"/>
      <c r="O123" s="2" t="s">
        <v>339</v>
      </c>
      <c r="P123" s="3"/>
      <c r="Q123" s="2" t="s">
        <v>340</v>
      </c>
      <c r="R123" s="2" t="n">
        <v>0.1667</v>
      </c>
      <c r="S123" s="2" t="s">
        <v>228</v>
      </c>
    </row>
    <row r="124" customFormat="false" ht="23.85" hidden="false" customHeight="false" outlineLevel="0" collapsed="false">
      <c r="A124" s="2" t="s">
        <v>336</v>
      </c>
      <c r="B124" s="2" t="n">
        <v>1</v>
      </c>
      <c r="C124" s="2" t="s">
        <v>20</v>
      </c>
      <c r="D124" s="2" t="n">
        <v>3</v>
      </c>
      <c r="E124" s="2" t="s">
        <v>38</v>
      </c>
      <c r="F124" s="2" t="s">
        <v>22</v>
      </c>
      <c r="G124" s="2" t="s">
        <v>225</v>
      </c>
      <c r="H124" s="3" t="s">
        <v>341</v>
      </c>
      <c r="I124" s="2" t="s">
        <v>227</v>
      </c>
      <c r="J124" s="2" t="s">
        <v>233</v>
      </c>
      <c r="K124" s="3" t="s">
        <v>338</v>
      </c>
      <c r="L124" s="2" t="n">
        <f aca="false">MAX(1,ROUND(0.3*Inputs!$B$4*Inputs!$B$5^(B124-1)*INDEX(Inputs!$C$15:$C$23,MATCH("parsing",Inputs!$A$15:$A$23,0))/3*Inputs!$B$7*Inputs!$B$6^(D124-1)/Inputs!$B$12,0))</f>
        <v>15</v>
      </c>
      <c r="M124" s="2"/>
      <c r="N124" s="2"/>
      <c r="O124" s="2" t="s">
        <v>339</v>
      </c>
      <c r="P124" s="3"/>
      <c r="Q124" s="2" t="s">
        <v>340</v>
      </c>
      <c r="R124" s="2" t="n">
        <v>0.1667</v>
      </c>
      <c r="S124" s="2" t="s">
        <v>232</v>
      </c>
    </row>
    <row r="125" customFormat="false" ht="23.85" hidden="false" customHeight="false" outlineLevel="0" collapsed="false">
      <c r="A125" s="2" t="s">
        <v>336</v>
      </c>
      <c r="B125" s="2" t="n">
        <v>1</v>
      </c>
      <c r="C125" s="2" t="s">
        <v>20</v>
      </c>
      <c r="D125" s="2" t="n">
        <v>4</v>
      </c>
      <c r="E125" s="2" t="s">
        <v>47</v>
      </c>
      <c r="F125" s="2" t="s">
        <v>22</v>
      </c>
      <c r="G125" s="2" t="s">
        <v>234</v>
      </c>
      <c r="H125" s="3" t="s">
        <v>342</v>
      </c>
      <c r="I125" s="2" t="s">
        <v>343</v>
      </c>
      <c r="J125" s="2" t="s">
        <v>344</v>
      </c>
      <c r="K125" s="3" t="s">
        <v>338</v>
      </c>
      <c r="L125" s="2" t="n">
        <f aca="false">MAX(1,ROUND(0.3*Inputs!$B$4*Inputs!$B$5^(B125-1)*INDEX(Inputs!$C$15:$C$23,MATCH("parsing",Inputs!$A$15:$A$23,0))/3*Inputs!$B$7*Inputs!$B$6^(D125-1)/Inputs!$B$12,0))</f>
        <v>17</v>
      </c>
      <c r="M125" s="2"/>
      <c r="N125" s="2"/>
      <c r="O125" s="2" t="s">
        <v>339</v>
      </c>
      <c r="P125" s="3"/>
      <c r="Q125" s="2" t="s">
        <v>345</v>
      </c>
      <c r="R125" s="2" t="n">
        <v>0.016667</v>
      </c>
      <c r="S125" s="2" t="s">
        <v>346</v>
      </c>
    </row>
    <row r="126" customFormat="false" ht="23.85" hidden="false" customHeight="false" outlineLevel="0" collapsed="false">
      <c r="A126" s="2" t="s">
        <v>336</v>
      </c>
      <c r="B126" s="2" t="n">
        <v>1</v>
      </c>
      <c r="C126" s="2" t="s">
        <v>20</v>
      </c>
      <c r="D126" s="2" t="n">
        <v>5</v>
      </c>
      <c r="E126" s="2" t="s">
        <v>54</v>
      </c>
      <c r="F126" s="2" t="s">
        <v>22</v>
      </c>
      <c r="G126" s="2" t="s">
        <v>234</v>
      </c>
      <c r="H126" s="3" t="s">
        <v>347</v>
      </c>
      <c r="I126" s="2" t="s">
        <v>343</v>
      </c>
      <c r="J126" s="2" t="s">
        <v>348</v>
      </c>
      <c r="K126" s="3" t="s">
        <v>338</v>
      </c>
      <c r="L126" s="2" t="n">
        <f aca="false">MAX(1,ROUND(0.3*Inputs!$B$4*Inputs!$B$5^(B126-1)*INDEX(Inputs!$C$15:$C$23,MATCH("parsing",Inputs!$A$15:$A$23,0))/3*Inputs!$B$7*Inputs!$B$6^(D126-1)/Inputs!$B$12,0))</f>
        <v>20</v>
      </c>
      <c r="M126" s="2"/>
      <c r="N126" s="2"/>
      <c r="O126" s="2" t="s">
        <v>339</v>
      </c>
      <c r="P126" s="3"/>
      <c r="Q126" s="2" t="s">
        <v>345</v>
      </c>
      <c r="R126" s="2" t="n">
        <v>0.016667</v>
      </c>
      <c r="S126" s="2" t="s">
        <v>344</v>
      </c>
    </row>
    <row r="127" customFormat="false" ht="23.85" hidden="false" customHeight="false" outlineLevel="0" collapsed="false">
      <c r="A127" s="2" t="s">
        <v>336</v>
      </c>
      <c r="B127" s="2" t="n">
        <v>1</v>
      </c>
      <c r="C127" s="2" t="s">
        <v>20</v>
      </c>
      <c r="D127" s="2" t="n">
        <v>6</v>
      </c>
      <c r="E127" s="2" t="s">
        <v>57</v>
      </c>
      <c r="F127" s="2" t="s">
        <v>22</v>
      </c>
      <c r="G127" s="2" t="s">
        <v>349</v>
      </c>
      <c r="H127" s="3" t="s">
        <v>350</v>
      </c>
      <c r="I127" s="2" t="s">
        <v>41</v>
      </c>
      <c r="J127" s="2" t="s">
        <v>351</v>
      </c>
      <c r="K127" s="3" t="s">
        <v>338</v>
      </c>
      <c r="L127" s="2" t="n">
        <f aca="false">MAX(1,ROUND(0.3*Inputs!$B$4*Inputs!$B$5^(B127-1)*INDEX(Inputs!$C$15:$C$23,MATCH("parsing",Inputs!$A$15:$A$23,0))/3*Inputs!$B$7*Inputs!$B$6^(D127-1)/Inputs!$B$12,0))</f>
        <v>23</v>
      </c>
      <c r="M127" s="2"/>
      <c r="N127" s="2"/>
      <c r="O127" s="2" t="s">
        <v>339</v>
      </c>
      <c r="P127" s="3"/>
      <c r="Q127" s="2" t="s">
        <v>352</v>
      </c>
      <c r="R127" s="2" t="n">
        <v>1</v>
      </c>
      <c r="S127" s="2" t="s">
        <v>353</v>
      </c>
    </row>
    <row r="128" customFormat="false" ht="23.85" hidden="false" customHeight="false" outlineLevel="0" collapsed="false">
      <c r="A128" s="2" t="s">
        <v>336</v>
      </c>
      <c r="B128" s="2" t="n">
        <v>1</v>
      </c>
      <c r="C128" s="2" t="s">
        <v>20</v>
      </c>
      <c r="D128" s="2" t="n">
        <v>7</v>
      </c>
      <c r="E128" s="2" t="s">
        <v>64</v>
      </c>
      <c r="F128" s="2" t="s">
        <v>22</v>
      </c>
      <c r="G128" s="2" t="s">
        <v>349</v>
      </c>
      <c r="H128" s="3" t="s">
        <v>350</v>
      </c>
      <c r="I128" s="2" t="s">
        <v>41</v>
      </c>
      <c r="J128" s="2" t="s">
        <v>354</v>
      </c>
      <c r="K128" s="3" t="s">
        <v>338</v>
      </c>
      <c r="L128" s="2" t="n">
        <f aca="false">MAX(1,ROUND(0.3*Inputs!$B$4*Inputs!$B$5^(B128-1)*INDEX(Inputs!$C$15:$C$23,MATCH("parsing",Inputs!$A$15:$A$23,0))/3*Inputs!$B$7*Inputs!$B$6^(D128-1)/Inputs!$B$12,0))</f>
        <v>26</v>
      </c>
      <c r="M128" s="2"/>
      <c r="N128" s="2"/>
      <c r="O128" s="2" t="s">
        <v>339</v>
      </c>
      <c r="P128" s="3"/>
      <c r="Q128" s="2" t="s">
        <v>352</v>
      </c>
      <c r="R128" s="2" t="n">
        <v>1</v>
      </c>
      <c r="S128" s="2" t="s">
        <v>351</v>
      </c>
    </row>
    <row r="129" customFormat="false" ht="23.85" hidden="false" customHeight="false" outlineLevel="0" collapsed="false">
      <c r="A129" s="4" t="s">
        <v>336</v>
      </c>
      <c r="B129" s="4" t="n">
        <v>1</v>
      </c>
      <c r="C129" s="4" t="s">
        <v>20</v>
      </c>
      <c r="D129" s="4" t="n">
        <v>8</v>
      </c>
      <c r="E129" s="4" t="s">
        <v>71</v>
      </c>
      <c r="F129" s="4" t="s">
        <v>72</v>
      </c>
      <c r="G129" s="4" t="s">
        <v>355</v>
      </c>
      <c r="H129" s="5" t="s">
        <v>356</v>
      </c>
      <c r="I129" s="4" t="s">
        <v>357</v>
      </c>
      <c r="J129" s="4" t="s">
        <v>358</v>
      </c>
      <c r="K129" s="5" t="s">
        <v>338</v>
      </c>
      <c r="L129" s="4" t="n">
        <f aca="false">MAX(1,ROUND(0.3*Inputs!$B$4*Inputs!$B$5^(B129-1)*INDEX(Inputs!$C$15:$C$23,MATCH("parsing",Inputs!$A$15:$A$23,0))/3*Inputs!$B$7*Inputs!$B$6^(D129-1)/Inputs!$B$12,0))</f>
        <v>30</v>
      </c>
      <c r="M129" s="4"/>
      <c r="N129" s="4"/>
      <c r="O129" s="4" t="s">
        <v>339</v>
      </c>
      <c r="P129" s="5"/>
      <c r="Q129" s="4" t="s">
        <v>359</v>
      </c>
      <c r="R129" s="4" t="n">
        <v>0.01</v>
      </c>
      <c r="S129" s="4" t="s">
        <v>360</v>
      </c>
    </row>
    <row r="130" customFormat="false" ht="23.85" hidden="false" customHeight="false" outlineLevel="0" collapsed="false">
      <c r="A130" s="4" t="s">
        <v>336</v>
      </c>
      <c r="B130" s="4" t="n">
        <v>1</v>
      </c>
      <c r="C130" s="4" t="s">
        <v>20</v>
      </c>
      <c r="D130" s="4" t="n">
        <v>9</v>
      </c>
      <c r="E130" s="4" t="s">
        <v>79</v>
      </c>
      <c r="F130" s="4" t="s">
        <v>72</v>
      </c>
      <c r="G130" s="4" t="s">
        <v>361</v>
      </c>
      <c r="H130" s="5" t="s">
        <v>362</v>
      </c>
      <c r="I130" s="4" t="s">
        <v>363</v>
      </c>
      <c r="J130" s="4" t="s">
        <v>364</v>
      </c>
      <c r="K130" s="5" t="s">
        <v>338</v>
      </c>
      <c r="L130" s="4" t="n">
        <f aca="false">MAX(1,ROUND(0.3*Inputs!$B$4*Inputs!$B$5^(B130-1)*INDEX(Inputs!$C$15:$C$23,MATCH("parsing",Inputs!$A$15:$A$23,0))/3*Inputs!$B$7*Inputs!$B$6^(D130-1)/Inputs!$B$12,0))</f>
        <v>35</v>
      </c>
      <c r="M130" s="4"/>
      <c r="N130" s="4"/>
      <c r="O130" s="4" t="s">
        <v>339</v>
      </c>
      <c r="P130" s="5"/>
      <c r="Q130" s="4" t="s">
        <v>365</v>
      </c>
      <c r="R130" s="4" t="n">
        <v>0.1</v>
      </c>
      <c r="S130" s="4" t="s">
        <v>366</v>
      </c>
    </row>
    <row r="131" customFormat="false" ht="23.85" hidden="false" customHeight="false" outlineLevel="0" collapsed="false">
      <c r="A131" s="6" t="s">
        <v>336</v>
      </c>
      <c r="B131" s="6" t="n">
        <v>1</v>
      </c>
      <c r="C131" s="6" t="s">
        <v>20</v>
      </c>
      <c r="D131" s="6" t="n">
        <v>10</v>
      </c>
      <c r="E131" s="6" t="s">
        <v>86</v>
      </c>
      <c r="F131" s="6" t="s">
        <v>87</v>
      </c>
      <c r="G131" s="6" t="s">
        <v>262</v>
      </c>
      <c r="H131" s="7" t="s">
        <v>367</v>
      </c>
      <c r="I131" s="6" t="s">
        <v>90</v>
      </c>
      <c r="J131" s="6"/>
      <c r="K131" s="7" t="s">
        <v>338</v>
      </c>
      <c r="L131" s="6" t="n">
        <f aca="false">MAX(1,ROUND(0.3*Inputs!$B$4*Inputs!$B$5^(B131-1)*INDEX(Inputs!$C$15:$C$23,MATCH("parsing",Inputs!$A$15:$A$23,0))/3*Inputs!$B$7*Inputs!$B$6^(D131-1)/Inputs!$B$12,0))</f>
        <v>40</v>
      </c>
      <c r="M131" s="6" t="s">
        <v>368</v>
      </c>
      <c r="N131" s="6" t="n">
        <v>1</v>
      </c>
      <c r="O131" s="6" t="s">
        <v>339</v>
      </c>
      <c r="P131" s="7"/>
      <c r="Q131" s="6" t="s">
        <v>369</v>
      </c>
      <c r="R131" s="8" t="b">
        <f aca="false">TRUE()</f>
        <v>1</v>
      </c>
      <c r="S131" s="6" t="s">
        <v>93</v>
      </c>
    </row>
    <row r="132" customFormat="false" ht="23.85" hidden="false" customHeight="false" outlineLevel="0" collapsed="false">
      <c r="A132" s="2" t="s">
        <v>336</v>
      </c>
      <c r="B132" s="2" t="n">
        <v>2</v>
      </c>
      <c r="C132" s="2" t="s">
        <v>94</v>
      </c>
      <c r="D132" s="2" t="n">
        <v>1</v>
      </c>
      <c r="E132" s="2" t="s">
        <v>95</v>
      </c>
      <c r="F132" s="2" t="s">
        <v>22</v>
      </c>
      <c r="G132" s="2" t="s">
        <v>225</v>
      </c>
      <c r="H132" s="3" t="s">
        <v>337</v>
      </c>
      <c r="I132" s="2" t="s">
        <v>266</v>
      </c>
      <c r="J132" s="2" t="s">
        <v>267</v>
      </c>
      <c r="K132" s="3" t="s">
        <v>370</v>
      </c>
      <c r="L132" s="2" t="n">
        <f aca="false">MAX(1,ROUND(0.7*Inputs!$B$4*Inputs!$B$5^(B132-1)*INDEX(Inputs!$C$15:$C$23,MATCH("parsing",Inputs!$A$15:$A$23,0))/3*Inputs!$B$7*Inputs!$B$6^(D132-1)/Inputs!$B$12,0))</f>
        <v>29</v>
      </c>
      <c r="M132" s="2"/>
      <c r="N132" s="2"/>
      <c r="O132" s="2" t="s">
        <v>339</v>
      </c>
      <c r="P132" s="3"/>
      <c r="Q132" s="2" t="s">
        <v>340</v>
      </c>
      <c r="R132" s="2" t="n">
        <v>0.25</v>
      </c>
      <c r="S132" s="2" t="s">
        <v>233</v>
      </c>
    </row>
    <row r="133" customFormat="false" ht="23.85" hidden="false" customHeight="false" outlineLevel="0" collapsed="false">
      <c r="A133" s="2" t="s">
        <v>336</v>
      </c>
      <c r="B133" s="2" t="n">
        <v>2</v>
      </c>
      <c r="C133" s="2" t="s">
        <v>94</v>
      </c>
      <c r="D133" s="2" t="n">
        <v>2</v>
      </c>
      <c r="E133" s="2" t="s">
        <v>99</v>
      </c>
      <c r="F133" s="2" t="s">
        <v>22</v>
      </c>
      <c r="G133" s="2" t="s">
        <v>225</v>
      </c>
      <c r="H133" s="3" t="s">
        <v>341</v>
      </c>
      <c r="I133" s="2" t="s">
        <v>266</v>
      </c>
      <c r="J133" s="2" t="s">
        <v>268</v>
      </c>
      <c r="K133" s="3" t="s">
        <v>370</v>
      </c>
      <c r="L133" s="2" t="n">
        <f aca="false">MAX(1,ROUND(0.7*Inputs!$B$4*Inputs!$B$5^(B133-1)*INDEX(Inputs!$C$15:$C$23,MATCH("parsing",Inputs!$A$15:$A$23,0))/3*Inputs!$B$7*Inputs!$B$6^(D133-1)/Inputs!$B$12,0))</f>
        <v>34</v>
      </c>
      <c r="M133" s="2"/>
      <c r="N133" s="2"/>
      <c r="O133" s="2" t="s">
        <v>339</v>
      </c>
      <c r="P133" s="3"/>
      <c r="Q133" s="2" t="s">
        <v>340</v>
      </c>
      <c r="R133" s="2" t="n">
        <v>0.25</v>
      </c>
      <c r="S133" s="2" t="s">
        <v>267</v>
      </c>
    </row>
    <row r="134" customFormat="false" ht="23.85" hidden="false" customHeight="false" outlineLevel="0" collapsed="false">
      <c r="A134" s="2" t="s">
        <v>336</v>
      </c>
      <c r="B134" s="2" t="n">
        <v>2</v>
      </c>
      <c r="C134" s="2" t="s">
        <v>94</v>
      </c>
      <c r="D134" s="2" t="n">
        <v>3</v>
      </c>
      <c r="E134" s="2" t="s">
        <v>101</v>
      </c>
      <c r="F134" s="2" t="s">
        <v>22</v>
      </c>
      <c r="G134" s="2" t="s">
        <v>225</v>
      </c>
      <c r="H134" s="3" t="s">
        <v>341</v>
      </c>
      <c r="I134" s="2" t="s">
        <v>266</v>
      </c>
      <c r="J134" s="2" t="s">
        <v>269</v>
      </c>
      <c r="K134" s="3" t="s">
        <v>370</v>
      </c>
      <c r="L134" s="2" t="n">
        <f aca="false">MAX(1,ROUND(0.7*Inputs!$B$4*Inputs!$B$5^(B134-1)*INDEX(Inputs!$C$15:$C$23,MATCH("parsing",Inputs!$A$15:$A$23,0))/3*Inputs!$B$7*Inputs!$B$6^(D134-1)/Inputs!$B$12,0))</f>
        <v>39</v>
      </c>
      <c r="M134" s="2"/>
      <c r="N134" s="2"/>
      <c r="O134" s="2" t="s">
        <v>339</v>
      </c>
      <c r="P134" s="3"/>
      <c r="Q134" s="2" t="s">
        <v>340</v>
      </c>
      <c r="R134" s="2" t="n">
        <v>0.25</v>
      </c>
      <c r="S134" s="2" t="s">
        <v>268</v>
      </c>
    </row>
    <row r="135" customFormat="false" ht="23.85" hidden="false" customHeight="false" outlineLevel="0" collapsed="false">
      <c r="A135" s="2" t="s">
        <v>336</v>
      </c>
      <c r="B135" s="2" t="n">
        <v>2</v>
      </c>
      <c r="C135" s="2" t="s">
        <v>94</v>
      </c>
      <c r="D135" s="2" t="n">
        <v>4</v>
      </c>
      <c r="E135" s="2" t="s">
        <v>103</v>
      </c>
      <c r="F135" s="2" t="s">
        <v>22</v>
      </c>
      <c r="G135" s="2" t="s">
        <v>234</v>
      </c>
      <c r="H135" s="3" t="s">
        <v>342</v>
      </c>
      <c r="I135" s="2" t="s">
        <v>343</v>
      </c>
      <c r="J135" s="2" t="s">
        <v>371</v>
      </c>
      <c r="K135" s="3" t="s">
        <v>370</v>
      </c>
      <c r="L135" s="2" t="n">
        <f aca="false">MAX(1,ROUND(0.7*Inputs!$B$4*Inputs!$B$5^(B135-1)*INDEX(Inputs!$C$15:$C$23,MATCH("parsing",Inputs!$A$15:$A$23,0))/3*Inputs!$B$7*Inputs!$B$6^(D135-1)/Inputs!$B$12,0))</f>
        <v>45</v>
      </c>
      <c r="M135" s="2"/>
      <c r="N135" s="2"/>
      <c r="O135" s="2" t="s">
        <v>339</v>
      </c>
      <c r="P135" s="3"/>
      <c r="Q135" s="2" t="s">
        <v>345</v>
      </c>
      <c r="R135" s="2" t="n">
        <v>0.016667</v>
      </c>
      <c r="S135" s="2" t="s">
        <v>348</v>
      </c>
    </row>
    <row r="136" customFormat="false" ht="23.85" hidden="false" customHeight="false" outlineLevel="0" collapsed="false">
      <c r="A136" s="2" t="s">
        <v>336</v>
      </c>
      <c r="B136" s="2" t="n">
        <v>2</v>
      </c>
      <c r="C136" s="2" t="s">
        <v>94</v>
      </c>
      <c r="D136" s="2" t="n">
        <v>5</v>
      </c>
      <c r="E136" s="2" t="s">
        <v>105</v>
      </c>
      <c r="F136" s="2" t="s">
        <v>22</v>
      </c>
      <c r="G136" s="2" t="s">
        <v>234</v>
      </c>
      <c r="H136" s="3" t="s">
        <v>347</v>
      </c>
      <c r="I136" s="2" t="s">
        <v>343</v>
      </c>
      <c r="J136" s="2" t="s">
        <v>372</v>
      </c>
      <c r="K136" s="3" t="s">
        <v>370</v>
      </c>
      <c r="L136" s="2" t="n">
        <f aca="false">MAX(1,ROUND(0.7*Inputs!$B$4*Inputs!$B$5^(B136-1)*INDEX(Inputs!$C$15:$C$23,MATCH("parsing",Inputs!$A$15:$A$23,0))/3*Inputs!$B$7*Inputs!$B$6^(D136-1)/Inputs!$B$12,0))</f>
        <v>51</v>
      </c>
      <c r="M136" s="2"/>
      <c r="N136" s="2"/>
      <c r="O136" s="2" t="s">
        <v>339</v>
      </c>
      <c r="P136" s="3"/>
      <c r="Q136" s="2" t="s">
        <v>345</v>
      </c>
      <c r="R136" s="2" t="n">
        <v>0.016667</v>
      </c>
      <c r="S136" s="2" t="s">
        <v>371</v>
      </c>
    </row>
    <row r="137" customFormat="false" ht="23.85" hidden="false" customHeight="false" outlineLevel="0" collapsed="false">
      <c r="A137" s="2" t="s">
        <v>336</v>
      </c>
      <c r="B137" s="2" t="n">
        <v>2</v>
      </c>
      <c r="C137" s="2" t="s">
        <v>94</v>
      </c>
      <c r="D137" s="2" t="n">
        <v>6</v>
      </c>
      <c r="E137" s="2" t="s">
        <v>107</v>
      </c>
      <c r="F137" s="2" t="s">
        <v>22</v>
      </c>
      <c r="G137" s="2" t="s">
        <v>349</v>
      </c>
      <c r="H137" s="3" t="s">
        <v>350</v>
      </c>
      <c r="I137" s="2" t="s">
        <v>41</v>
      </c>
      <c r="J137" s="2" t="s">
        <v>373</v>
      </c>
      <c r="K137" s="3" t="s">
        <v>370</v>
      </c>
      <c r="L137" s="2" t="n">
        <f aca="false">MAX(1,ROUND(0.7*Inputs!$B$4*Inputs!$B$5^(B137-1)*INDEX(Inputs!$C$15:$C$23,MATCH("parsing",Inputs!$A$15:$A$23,0))/3*Inputs!$B$7*Inputs!$B$6^(D137-1)/Inputs!$B$12,0))</f>
        <v>59</v>
      </c>
      <c r="M137" s="2"/>
      <c r="N137" s="2"/>
      <c r="O137" s="2" t="s">
        <v>339</v>
      </c>
      <c r="P137" s="3"/>
      <c r="Q137" s="2" t="s">
        <v>352</v>
      </c>
      <c r="R137" s="2" t="n">
        <v>1</v>
      </c>
      <c r="S137" s="2" t="s">
        <v>354</v>
      </c>
    </row>
    <row r="138" customFormat="false" ht="23.85" hidden="false" customHeight="false" outlineLevel="0" collapsed="false">
      <c r="A138" s="2" t="s">
        <v>336</v>
      </c>
      <c r="B138" s="2" t="n">
        <v>2</v>
      </c>
      <c r="C138" s="2" t="s">
        <v>94</v>
      </c>
      <c r="D138" s="2" t="n">
        <v>7</v>
      </c>
      <c r="E138" s="2" t="s">
        <v>109</v>
      </c>
      <c r="F138" s="2" t="s">
        <v>22</v>
      </c>
      <c r="G138" s="2" t="s">
        <v>349</v>
      </c>
      <c r="H138" s="3" t="s">
        <v>350</v>
      </c>
      <c r="I138" s="2" t="s">
        <v>41</v>
      </c>
      <c r="J138" s="2" t="s">
        <v>374</v>
      </c>
      <c r="K138" s="3" t="s">
        <v>370</v>
      </c>
      <c r="L138" s="2" t="n">
        <f aca="false">MAX(1,ROUND(0.7*Inputs!$B$4*Inputs!$B$5^(B138-1)*INDEX(Inputs!$C$15:$C$23,MATCH("parsing",Inputs!$A$15:$A$23,0))/3*Inputs!$B$7*Inputs!$B$6^(D138-1)/Inputs!$B$12,0))</f>
        <v>68</v>
      </c>
      <c r="M138" s="2"/>
      <c r="N138" s="2"/>
      <c r="O138" s="2" t="s">
        <v>339</v>
      </c>
      <c r="P138" s="3"/>
      <c r="Q138" s="2" t="s">
        <v>352</v>
      </c>
      <c r="R138" s="2" t="n">
        <v>1</v>
      </c>
      <c r="S138" s="2" t="s">
        <v>373</v>
      </c>
    </row>
    <row r="139" customFormat="false" ht="23.85" hidden="false" customHeight="false" outlineLevel="0" collapsed="false">
      <c r="A139" s="4" t="s">
        <v>336</v>
      </c>
      <c r="B139" s="4" t="n">
        <v>2</v>
      </c>
      <c r="C139" s="4" t="s">
        <v>94</v>
      </c>
      <c r="D139" s="4" t="n">
        <v>8</v>
      </c>
      <c r="E139" s="4" t="s">
        <v>111</v>
      </c>
      <c r="F139" s="4" t="s">
        <v>72</v>
      </c>
      <c r="G139" s="4" t="s">
        <v>355</v>
      </c>
      <c r="H139" s="5" t="s">
        <v>356</v>
      </c>
      <c r="I139" s="4" t="s">
        <v>357</v>
      </c>
      <c r="J139" s="4" t="s">
        <v>375</v>
      </c>
      <c r="K139" s="5" t="s">
        <v>370</v>
      </c>
      <c r="L139" s="4" t="n">
        <f aca="false">MAX(1,ROUND(0.7*Inputs!$B$4*Inputs!$B$5^(B139-1)*INDEX(Inputs!$C$15:$C$23,MATCH("parsing",Inputs!$A$15:$A$23,0))/3*Inputs!$B$7*Inputs!$B$6^(D139-1)/Inputs!$B$12,0))</f>
        <v>78</v>
      </c>
      <c r="M139" s="4"/>
      <c r="N139" s="4"/>
      <c r="O139" s="4" t="s">
        <v>339</v>
      </c>
      <c r="P139" s="5"/>
      <c r="Q139" s="4" t="s">
        <v>359</v>
      </c>
      <c r="R139" s="4" t="n">
        <v>0.01</v>
      </c>
      <c r="S139" s="4" t="s">
        <v>358</v>
      </c>
    </row>
    <row r="140" customFormat="false" ht="23.85" hidden="false" customHeight="false" outlineLevel="0" collapsed="false">
      <c r="A140" s="4" t="s">
        <v>336</v>
      </c>
      <c r="B140" s="4" t="n">
        <v>2</v>
      </c>
      <c r="C140" s="4" t="s">
        <v>94</v>
      </c>
      <c r="D140" s="4" t="n">
        <v>9</v>
      </c>
      <c r="E140" s="4" t="s">
        <v>113</v>
      </c>
      <c r="F140" s="4" t="s">
        <v>72</v>
      </c>
      <c r="G140" s="4" t="s">
        <v>361</v>
      </c>
      <c r="H140" s="5" t="s">
        <v>362</v>
      </c>
      <c r="I140" s="4" t="s">
        <v>363</v>
      </c>
      <c r="J140" s="4" t="s">
        <v>376</v>
      </c>
      <c r="K140" s="5" t="s">
        <v>370</v>
      </c>
      <c r="L140" s="4" t="n">
        <f aca="false">MAX(1,ROUND(0.7*Inputs!$B$4*Inputs!$B$5^(B140-1)*INDEX(Inputs!$C$15:$C$23,MATCH("parsing",Inputs!$A$15:$A$23,0))/3*Inputs!$B$7*Inputs!$B$6^(D140-1)/Inputs!$B$12,0))</f>
        <v>90</v>
      </c>
      <c r="M140" s="4"/>
      <c r="N140" s="4"/>
      <c r="O140" s="4" t="s">
        <v>339</v>
      </c>
      <c r="P140" s="5"/>
      <c r="Q140" s="4" t="s">
        <v>365</v>
      </c>
      <c r="R140" s="4" t="n">
        <v>0.1</v>
      </c>
      <c r="S140" s="4" t="s">
        <v>364</v>
      </c>
    </row>
    <row r="141" customFormat="false" ht="23.85" hidden="false" customHeight="false" outlineLevel="0" collapsed="false">
      <c r="A141" s="6" t="s">
        <v>336</v>
      </c>
      <c r="B141" s="6" t="n">
        <v>2</v>
      </c>
      <c r="C141" s="6" t="s">
        <v>94</v>
      </c>
      <c r="D141" s="6" t="n">
        <v>10</v>
      </c>
      <c r="E141" s="6" t="s">
        <v>115</v>
      </c>
      <c r="F141" s="6" t="s">
        <v>87</v>
      </c>
      <c r="G141" s="6" t="s">
        <v>377</v>
      </c>
      <c r="H141" s="7" t="s">
        <v>378</v>
      </c>
      <c r="I141" s="6" t="s">
        <v>90</v>
      </c>
      <c r="J141" s="6"/>
      <c r="K141" s="7" t="s">
        <v>370</v>
      </c>
      <c r="L141" s="6" t="n">
        <f aca="false">MAX(1,ROUND(0.7*Inputs!$B$4*Inputs!$B$5^(B141-1)*INDEX(Inputs!$C$15:$C$23,MATCH("parsing",Inputs!$A$15:$A$23,0))/3*Inputs!$B$7*Inputs!$B$6^(D141-1)/Inputs!$B$12,0))</f>
        <v>103</v>
      </c>
      <c r="M141" s="6" t="s">
        <v>379</v>
      </c>
      <c r="N141" s="6" t="n">
        <v>1</v>
      </c>
      <c r="O141" s="6" t="s">
        <v>339</v>
      </c>
      <c r="P141" s="7"/>
      <c r="Q141" s="6" t="s">
        <v>380</v>
      </c>
      <c r="R141" s="8" t="b">
        <f aca="false">TRUE()</f>
        <v>1</v>
      </c>
      <c r="S141" s="6" t="s">
        <v>93</v>
      </c>
    </row>
    <row r="142" customFormat="false" ht="23.85" hidden="false" customHeight="false" outlineLevel="0" collapsed="false">
      <c r="A142" s="2" t="s">
        <v>336</v>
      </c>
      <c r="B142" s="2" t="n">
        <v>3</v>
      </c>
      <c r="C142" s="2" t="s">
        <v>120</v>
      </c>
      <c r="D142" s="2" t="n">
        <v>1</v>
      </c>
      <c r="E142" s="2" t="s">
        <v>121</v>
      </c>
      <c r="F142" s="2" t="s">
        <v>22</v>
      </c>
      <c r="G142" s="2" t="s">
        <v>225</v>
      </c>
      <c r="H142" s="3" t="s">
        <v>337</v>
      </c>
      <c r="I142" s="2" t="s">
        <v>280</v>
      </c>
      <c r="J142" s="2" t="s">
        <v>281</v>
      </c>
      <c r="K142" s="3" t="s">
        <v>381</v>
      </c>
      <c r="L142" s="2" t="n">
        <f aca="false">MAX(1,ROUND(0.85*Inputs!$B$4*Inputs!$B$5^(B142-1)*INDEX(Inputs!$C$15:$C$23,MATCH("parsing",Inputs!$A$15:$A$23,0))/3*Inputs!$B$7*Inputs!$B$6^(D142-1)/Inputs!$B$12,0))</f>
        <v>39</v>
      </c>
      <c r="M142" s="2"/>
      <c r="N142" s="2"/>
      <c r="O142" s="2" t="s">
        <v>339</v>
      </c>
      <c r="P142" s="3"/>
      <c r="Q142" s="2" t="s">
        <v>340</v>
      </c>
      <c r="R142" s="2" t="n">
        <v>0.375</v>
      </c>
      <c r="S142" s="2" t="s">
        <v>269</v>
      </c>
    </row>
    <row r="143" customFormat="false" ht="23.85" hidden="false" customHeight="false" outlineLevel="0" collapsed="false">
      <c r="A143" s="2" t="s">
        <v>336</v>
      </c>
      <c r="B143" s="2" t="n">
        <v>3</v>
      </c>
      <c r="C143" s="2" t="s">
        <v>120</v>
      </c>
      <c r="D143" s="2" t="n">
        <v>2</v>
      </c>
      <c r="E143" s="2" t="s">
        <v>125</v>
      </c>
      <c r="F143" s="2" t="s">
        <v>22</v>
      </c>
      <c r="G143" s="2" t="s">
        <v>225</v>
      </c>
      <c r="H143" s="3" t="s">
        <v>341</v>
      </c>
      <c r="I143" s="2" t="s">
        <v>280</v>
      </c>
      <c r="J143" s="2" t="s">
        <v>282</v>
      </c>
      <c r="K143" s="3" t="s">
        <v>381</v>
      </c>
      <c r="L143" s="2" t="n">
        <f aca="false">MAX(1,ROUND(0.85*Inputs!$B$4*Inputs!$B$5^(B143-1)*INDEX(Inputs!$C$15:$C$23,MATCH("parsing",Inputs!$A$15:$A$23,0))/3*Inputs!$B$7*Inputs!$B$6^(D143-1)/Inputs!$B$12,0))</f>
        <v>45</v>
      </c>
      <c r="M143" s="2"/>
      <c r="N143" s="2"/>
      <c r="O143" s="2" t="s">
        <v>339</v>
      </c>
      <c r="P143" s="3"/>
      <c r="Q143" s="2" t="s">
        <v>340</v>
      </c>
      <c r="R143" s="2" t="n">
        <v>0.375</v>
      </c>
      <c r="S143" s="2" t="s">
        <v>281</v>
      </c>
    </row>
    <row r="144" customFormat="false" ht="23.85" hidden="false" customHeight="false" outlineLevel="0" collapsed="false">
      <c r="A144" s="2" t="s">
        <v>336</v>
      </c>
      <c r="B144" s="2" t="n">
        <v>3</v>
      </c>
      <c r="C144" s="2" t="s">
        <v>120</v>
      </c>
      <c r="D144" s="2" t="n">
        <v>3</v>
      </c>
      <c r="E144" s="2" t="s">
        <v>127</v>
      </c>
      <c r="F144" s="2" t="s">
        <v>22</v>
      </c>
      <c r="G144" s="2" t="s">
        <v>225</v>
      </c>
      <c r="H144" s="3" t="s">
        <v>341</v>
      </c>
      <c r="I144" s="2" t="s">
        <v>280</v>
      </c>
      <c r="J144" s="2" t="s">
        <v>283</v>
      </c>
      <c r="K144" s="3" t="s">
        <v>381</v>
      </c>
      <c r="L144" s="2" t="n">
        <f aca="false">MAX(1,ROUND(0.85*Inputs!$B$4*Inputs!$B$5^(B144-1)*INDEX(Inputs!$C$15:$C$23,MATCH("parsing",Inputs!$A$15:$A$23,0))/3*Inputs!$B$7*Inputs!$B$6^(D144-1)/Inputs!$B$12,0))</f>
        <v>52</v>
      </c>
      <c r="M144" s="2"/>
      <c r="N144" s="2"/>
      <c r="O144" s="2" t="s">
        <v>339</v>
      </c>
      <c r="P144" s="3"/>
      <c r="Q144" s="2" t="s">
        <v>340</v>
      </c>
      <c r="R144" s="2" t="n">
        <v>0.375</v>
      </c>
      <c r="S144" s="2" t="s">
        <v>282</v>
      </c>
    </row>
    <row r="145" customFormat="false" ht="23.85" hidden="false" customHeight="false" outlineLevel="0" collapsed="false">
      <c r="A145" s="2" t="s">
        <v>336</v>
      </c>
      <c r="B145" s="2" t="n">
        <v>3</v>
      </c>
      <c r="C145" s="2" t="s">
        <v>120</v>
      </c>
      <c r="D145" s="2" t="n">
        <v>4</v>
      </c>
      <c r="E145" s="2" t="s">
        <v>129</v>
      </c>
      <c r="F145" s="2" t="s">
        <v>22</v>
      </c>
      <c r="G145" s="2" t="s">
        <v>234</v>
      </c>
      <c r="H145" s="3" t="s">
        <v>342</v>
      </c>
      <c r="I145" s="2" t="s">
        <v>343</v>
      </c>
      <c r="J145" s="2" t="s">
        <v>382</v>
      </c>
      <c r="K145" s="3" t="s">
        <v>381</v>
      </c>
      <c r="L145" s="2" t="n">
        <f aca="false">MAX(1,ROUND(0.85*Inputs!$B$4*Inputs!$B$5^(B145-1)*INDEX(Inputs!$C$15:$C$23,MATCH("parsing",Inputs!$A$15:$A$23,0))/3*Inputs!$B$7*Inputs!$B$6^(D145-1)/Inputs!$B$12,0))</f>
        <v>60</v>
      </c>
      <c r="M145" s="2"/>
      <c r="N145" s="2"/>
      <c r="O145" s="2" t="s">
        <v>339</v>
      </c>
      <c r="P145" s="3"/>
      <c r="Q145" s="2" t="s">
        <v>345</v>
      </c>
      <c r="R145" s="2" t="n">
        <v>0.016667</v>
      </c>
      <c r="S145" s="2" t="s">
        <v>372</v>
      </c>
    </row>
    <row r="146" customFormat="false" ht="23.85" hidden="false" customHeight="false" outlineLevel="0" collapsed="false">
      <c r="A146" s="2" t="s">
        <v>336</v>
      </c>
      <c r="B146" s="2" t="n">
        <v>3</v>
      </c>
      <c r="C146" s="2" t="s">
        <v>120</v>
      </c>
      <c r="D146" s="2" t="n">
        <v>5</v>
      </c>
      <c r="E146" s="2" t="s">
        <v>131</v>
      </c>
      <c r="F146" s="2" t="s">
        <v>22</v>
      </c>
      <c r="G146" s="2" t="s">
        <v>234</v>
      </c>
      <c r="H146" s="3" t="s">
        <v>347</v>
      </c>
      <c r="I146" s="2" t="s">
        <v>343</v>
      </c>
      <c r="J146" s="2" t="s">
        <v>383</v>
      </c>
      <c r="K146" s="3" t="s">
        <v>381</v>
      </c>
      <c r="L146" s="2" t="n">
        <f aca="false">MAX(1,ROUND(0.85*Inputs!$B$4*Inputs!$B$5^(B146-1)*INDEX(Inputs!$C$15:$C$23,MATCH("parsing",Inputs!$A$15:$A$23,0))/3*Inputs!$B$7*Inputs!$B$6^(D146-1)/Inputs!$B$12,0))</f>
        <v>69</v>
      </c>
      <c r="M146" s="2"/>
      <c r="N146" s="2"/>
      <c r="O146" s="2" t="s">
        <v>339</v>
      </c>
      <c r="P146" s="3"/>
      <c r="Q146" s="2" t="s">
        <v>345</v>
      </c>
      <c r="R146" s="2" t="n">
        <v>0.016667</v>
      </c>
      <c r="S146" s="2" t="s">
        <v>382</v>
      </c>
    </row>
    <row r="147" customFormat="false" ht="23.85" hidden="false" customHeight="false" outlineLevel="0" collapsed="false">
      <c r="A147" s="2" t="s">
        <v>336</v>
      </c>
      <c r="B147" s="2" t="n">
        <v>3</v>
      </c>
      <c r="C147" s="2" t="s">
        <v>120</v>
      </c>
      <c r="D147" s="2" t="n">
        <v>6</v>
      </c>
      <c r="E147" s="2" t="s">
        <v>133</v>
      </c>
      <c r="F147" s="2" t="s">
        <v>22</v>
      </c>
      <c r="G147" s="2" t="s">
        <v>349</v>
      </c>
      <c r="H147" s="3" t="s">
        <v>350</v>
      </c>
      <c r="I147" s="2" t="s">
        <v>41</v>
      </c>
      <c r="J147" s="2" t="s">
        <v>384</v>
      </c>
      <c r="K147" s="3" t="s">
        <v>381</v>
      </c>
      <c r="L147" s="2" t="n">
        <f aca="false">MAX(1,ROUND(0.85*Inputs!$B$4*Inputs!$B$5^(B147-1)*INDEX(Inputs!$C$15:$C$23,MATCH("parsing",Inputs!$A$15:$A$23,0))/3*Inputs!$B$7*Inputs!$B$6^(D147-1)/Inputs!$B$12,0))</f>
        <v>79</v>
      </c>
      <c r="M147" s="2"/>
      <c r="N147" s="2"/>
      <c r="O147" s="2" t="s">
        <v>339</v>
      </c>
      <c r="P147" s="3"/>
      <c r="Q147" s="2" t="s">
        <v>352</v>
      </c>
      <c r="R147" s="2" t="n">
        <v>1</v>
      </c>
      <c r="S147" s="2" t="s">
        <v>374</v>
      </c>
    </row>
    <row r="148" customFormat="false" ht="23.85" hidden="false" customHeight="false" outlineLevel="0" collapsed="false">
      <c r="A148" s="2" t="s">
        <v>336</v>
      </c>
      <c r="B148" s="2" t="n">
        <v>3</v>
      </c>
      <c r="C148" s="2" t="s">
        <v>120</v>
      </c>
      <c r="D148" s="2" t="n">
        <v>7</v>
      </c>
      <c r="E148" s="2" t="s">
        <v>135</v>
      </c>
      <c r="F148" s="2" t="s">
        <v>22</v>
      </c>
      <c r="G148" s="2" t="s">
        <v>349</v>
      </c>
      <c r="H148" s="3" t="s">
        <v>350</v>
      </c>
      <c r="I148" s="2" t="s">
        <v>41</v>
      </c>
      <c r="J148" s="2" t="s">
        <v>385</v>
      </c>
      <c r="K148" s="3" t="s">
        <v>381</v>
      </c>
      <c r="L148" s="2" t="n">
        <f aca="false">MAX(1,ROUND(0.85*Inputs!$B$4*Inputs!$B$5^(B148-1)*INDEX(Inputs!$C$15:$C$23,MATCH("parsing",Inputs!$A$15:$A$23,0))/3*Inputs!$B$7*Inputs!$B$6^(D148-1)/Inputs!$B$12,0))</f>
        <v>91</v>
      </c>
      <c r="M148" s="2"/>
      <c r="N148" s="2"/>
      <c r="O148" s="2" t="s">
        <v>339</v>
      </c>
      <c r="P148" s="3"/>
      <c r="Q148" s="2" t="s">
        <v>352</v>
      </c>
      <c r="R148" s="2" t="n">
        <v>1</v>
      </c>
      <c r="S148" s="2" t="s">
        <v>384</v>
      </c>
    </row>
    <row r="149" customFormat="false" ht="23.85" hidden="false" customHeight="false" outlineLevel="0" collapsed="false">
      <c r="A149" s="4" t="s">
        <v>336</v>
      </c>
      <c r="B149" s="4" t="n">
        <v>3</v>
      </c>
      <c r="C149" s="4" t="s">
        <v>120</v>
      </c>
      <c r="D149" s="4" t="n">
        <v>8</v>
      </c>
      <c r="E149" s="4" t="s">
        <v>137</v>
      </c>
      <c r="F149" s="4" t="s">
        <v>72</v>
      </c>
      <c r="G149" s="4" t="s">
        <v>355</v>
      </c>
      <c r="H149" s="5" t="s">
        <v>356</v>
      </c>
      <c r="I149" s="4" t="s">
        <v>357</v>
      </c>
      <c r="J149" s="4" t="s">
        <v>386</v>
      </c>
      <c r="K149" s="5" t="s">
        <v>381</v>
      </c>
      <c r="L149" s="4" t="n">
        <f aca="false">MAX(1,ROUND(0.85*Inputs!$B$4*Inputs!$B$5^(B149-1)*INDEX(Inputs!$C$15:$C$23,MATCH("parsing",Inputs!$A$15:$A$23,0))/3*Inputs!$B$7*Inputs!$B$6^(D149-1)/Inputs!$B$12,0))</f>
        <v>104</v>
      </c>
      <c r="M149" s="4"/>
      <c r="N149" s="4"/>
      <c r="O149" s="4" t="s">
        <v>339</v>
      </c>
      <c r="P149" s="5"/>
      <c r="Q149" s="4" t="s">
        <v>359</v>
      </c>
      <c r="R149" s="4" t="n">
        <v>0.01</v>
      </c>
      <c r="S149" s="4" t="s">
        <v>375</v>
      </c>
    </row>
    <row r="150" customFormat="false" ht="23.85" hidden="false" customHeight="false" outlineLevel="0" collapsed="false">
      <c r="A150" s="4" t="s">
        <v>336</v>
      </c>
      <c r="B150" s="4" t="n">
        <v>3</v>
      </c>
      <c r="C150" s="4" t="s">
        <v>120</v>
      </c>
      <c r="D150" s="4" t="n">
        <v>9</v>
      </c>
      <c r="E150" s="4" t="s">
        <v>139</v>
      </c>
      <c r="F150" s="4" t="s">
        <v>72</v>
      </c>
      <c r="G150" s="4" t="s">
        <v>361</v>
      </c>
      <c r="H150" s="5" t="s">
        <v>362</v>
      </c>
      <c r="I150" s="4" t="s">
        <v>363</v>
      </c>
      <c r="J150" s="4" t="s">
        <v>387</v>
      </c>
      <c r="K150" s="5" t="s">
        <v>381</v>
      </c>
      <c r="L150" s="4" t="n">
        <f aca="false">MAX(1,ROUND(0.85*Inputs!$B$4*Inputs!$B$5^(B150-1)*INDEX(Inputs!$C$15:$C$23,MATCH("parsing",Inputs!$A$15:$A$23,0))/3*Inputs!$B$7*Inputs!$B$6^(D150-1)/Inputs!$B$12,0))</f>
        <v>120</v>
      </c>
      <c r="M150" s="4"/>
      <c r="N150" s="4"/>
      <c r="O150" s="4" t="s">
        <v>339</v>
      </c>
      <c r="P150" s="5"/>
      <c r="Q150" s="4" t="s">
        <v>365</v>
      </c>
      <c r="R150" s="4" t="n">
        <v>0.1</v>
      </c>
      <c r="S150" s="4" t="s">
        <v>376</v>
      </c>
    </row>
    <row r="151" customFormat="false" ht="35.05" hidden="false" customHeight="false" outlineLevel="0" collapsed="false">
      <c r="A151" s="6" t="s">
        <v>336</v>
      </c>
      <c r="B151" s="6" t="n">
        <v>3</v>
      </c>
      <c r="C151" s="6" t="s">
        <v>120</v>
      </c>
      <c r="D151" s="6" t="n">
        <v>10</v>
      </c>
      <c r="E151" s="6" t="s">
        <v>141</v>
      </c>
      <c r="F151" s="6" t="s">
        <v>87</v>
      </c>
      <c r="G151" s="6" t="s">
        <v>388</v>
      </c>
      <c r="H151" s="7" t="s">
        <v>389</v>
      </c>
      <c r="I151" s="6" t="s">
        <v>90</v>
      </c>
      <c r="J151" s="6"/>
      <c r="K151" s="7" t="s">
        <v>381</v>
      </c>
      <c r="L151" s="6" t="n">
        <f aca="false">MAX(1,ROUND(0.85*Inputs!$B$4*Inputs!$B$5^(B151-1)*INDEX(Inputs!$C$15:$C$23,MATCH("parsing",Inputs!$A$15:$A$23,0))/3*Inputs!$B$7*Inputs!$B$6^(D151-1)/Inputs!$B$12,0))</f>
        <v>138</v>
      </c>
      <c r="M151" s="6" t="s">
        <v>390</v>
      </c>
      <c r="N151" s="6" t="n">
        <v>2</v>
      </c>
      <c r="O151" s="6" t="s">
        <v>339</v>
      </c>
      <c r="P151" s="7"/>
      <c r="Q151" s="6" t="s">
        <v>391</v>
      </c>
      <c r="R151" s="8" t="b">
        <f aca="false">TRUE()</f>
        <v>1</v>
      </c>
      <c r="S151" s="6" t="s">
        <v>93</v>
      </c>
    </row>
    <row r="152" customFormat="false" ht="23.85" hidden="false" customHeight="false" outlineLevel="0" collapsed="false">
      <c r="A152" s="2" t="s">
        <v>336</v>
      </c>
      <c r="B152" s="2" t="n">
        <v>4</v>
      </c>
      <c r="C152" s="2" t="s">
        <v>146</v>
      </c>
      <c r="D152" s="2" t="n">
        <v>1</v>
      </c>
      <c r="E152" s="2" t="s">
        <v>147</v>
      </c>
      <c r="F152" s="2" t="s">
        <v>22</v>
      </c>
      <c r="G152" s="2" t="s">
        <v>225</v>
      </c>
      <c r="H152" s="3" t="s">
        <v>337</v>
      </c>
      <c r="I152" s="2" t="s">
        <v>294</v>
      </c>
      <c r="J152" s="2" t="s">
        <v>295</v>
      </c>
      <c r="K152" s="3" t="s">
        <v>392</v>
      </c>
      <c r="L152" s="2" t="n">
        <f aca="false">MAX(1,ROUND(0.75*Inputs!$B$4*Inputs!$B$5^(B152-1)*INDEX(Inputs!$C$15:$C$23,MATCH("parsing",Inputs!$A$15:$A$23,0))/3*Inputs!$B$7*Inputs!$B$6^(D152-1)/Inputs!$B$12,0))</f>
        <v>38</v>
      </c>
      <c r="M152" s="2"/>
      <c r="N152" s="2"/>
      <c r="O152" s="2" t="s">
        <v>339</v>
      </c>
      <c r="P152" s="3"/>
      <c r="Q152" s="2" t="s">
        <v>340</v>
      </c>
      <c r="R152" s="2" t="n">
        <v>0.5625</v>
      </c>
      <c r="S152" s="2" t="s">
        <v>283</v>
      </c>
    </row>
    <row r="153" customFormat="false" ht="23.85" hidden="false" customHeight="false" outlineLevel="0" collapsed="false">
      <c r="A153" s="2" t="s">
        <v>336</v>
      </c>
      <c r="B153" s="2" t="n">
        <v>4</v>
      </c>
      <c r="C153" s="2" t="s">
        <v>146</v>
      </c>
      <c r="D153" s="2" t="n">
        <v>2</v>
      </c>
      <c r="E153" s="2" t="s">
        <v>151</v>
      </c>
      <c r="F153" s="2" t="s">
        <v>22</v>
      </c>
      <c r="G153" s="2" t="s">
        <v>225</v>
      </c>
      <c r="H153" s="3" t="s">
        <v>341</v>
      </c>
      <c r="I153" s="2" t="s">
        <v>294</v>
      </c>
      <c r="J153" s="2" t="s">
        <v>296</v>
      </c>
      <c r="K153" s="3" t="s">
        <v>392</v>
      </c>
      <c r="L153" s="2" t="n">
        <f aca="false">MAX(1,ROUND(0.75*Inputs!$B$4*Inputs!$B$5^(B153-1)*INDEX(Inputs!$C$15:$C$23,MATCH("parsing",Inputs!$A$15:$A$23,0))/3*Inputs!$B$7*Inputs!$B$6^(D153-1)/Inputs!$B$12,0))</f>
        <v>44</v>
      </c>
      <c r="M153" s="2"/>
      <c r="N153" s="2"/>
      <c r="O153" s="2" t="s">
        <v>339</v>
      </c>
      <c r="P153" s="3"/>
      <c r="Q153" s="2" t="s">
        <v>340</v>
      </c>
      <c r="R153" s="2" t="n">
        <v>0.5625</v>
      </c>
      <c r="S153" s="2" t="s">
        <v>295</v>
      </c>
    </row>
    <row r="154" customFormat="false" ht="23.85" hidden="false" customHeight="false" outlineLevel="0" collapsed="false">
      <c r="A154" s="2" t="s">
        <v>336</v>
      </c>
      <c r="B154" s="2" t="n">
        <v>4</v>
      </c>
      <c r="C154" s="2" t="s">
        <v>146</v>
      </c>
      <c r="D154" s="2" t="n">
        <v>3</v>
      </c>
      <c r="E154" s="2" t="s">
        <v>153</v>
      </c>
      <c r="F154" s="2" t="s">
        <v>22</v>
      </c>
      <c r="G154" s="2" t="s">
        <v>225</v>
      </c>
      <c r="H154" s="3" t="s">
        <v>341</v>
      </c>
      <c r="I154" s="2" t="s">
        <v>294</v>
      </c>
      <c r="J154" s="2" t="s">
        <v>297</v>
      </c>
      <c r="K154" s="3" t="s">
        <v>392</v>
      </c>
      <c r="L154" s="2" t="n">
        <f aca="false">MAX(1,ROUND(0.75*Inputs!$B$4*Inputs!$B$5^(B154-1)*INDEX(Inputs!$C$15:$C$23,MATCH("parsing",Inputs!$A$15:$A$23,0))/3*Inputs!$B$7*Inputs!$B$6^(D154-1)/Inputs!$B$12,0))</f>
        <v>50</v>
      </c>
      <c r="M154" s="2"/>
      <c r="N154" s="2"/>
      <c r="O154" s="2" t="s">
        <v>339</v>
      </c>
      <c r="P154" s="3"/>
      <c r="Q154" s="2" t="s">
        <v>340</v>
      </c>
      <c r="R154" s="2" t="n">
        <v>0.5625</v>
      </c>
      <c r="S154" s="2" t="s">
        <v>296</v>
      </c>
    </row>
    <row r="155" customFormat="false" ht="23.85" hidden="false" customHeight="false" outlineLevel="0" collapsed="false">
      <c r="A155" s="2" t="s">
        <v>336</v>
      </c>
      <c r="B155" s="2" t="n">
        <v>4</v>
      </c>
      <c r="C155" s="2" t="s">
        <v>146</v>
      </c>
      <c r="D155" s="2" t="n">
        <v>4</v>
      </c>
      <c r="E155" s="2" t="s">
        <v>155</v>
      </c>
      <c r="F155" s="2" t="s">
        <v>22</v>
      </c>
      <c r="G155" s="2" t="s">
        <v>234</v>
      </c>
      <c r="H155" s="3" t="s">
        <v>342</v>
      </c>
      <c r="I155" s="2" t="s">
        <v>343</v>
      </c>
      <c r="J155" s="2" t="s">
        <v>393</v>
      </c>
      <c r="K155" s="3" t="s">
        <v>392</v>
      </c>
      <c r="L155" s="2" t="n">
        <f aca="false">MAX(1,ROUND(0.75*Inputs!$B$4*Inputs!$B$5^(B155-1)*INDEX(Inputs!$C$15:$C$23,MATCH("parsing",Inputs!$A$15:$A$23,0))/3*Inputs!$B$7*Inputs!$B$6^(D155-1)/Inputs!$B$12,0))</f>
        <v>58</v>
      </c>
      <c r="M155" s="2"/>
      <c r="N155" s="2"/>
      <c r="O155" s="2" t="s">
        <v>339</v>
      </c>
      <c r="P155" s="3"/>
      <c r="Q155" s="2" t="s">
        <v>345</v>
      </c>
      <c r="R155" s="2" t="n">
        <v>0.016667</v>
      </c>
      <c r="S155" s="2" t="s">
        <v>383</v>
      </c>
    </row>
    <row r="156" customFormat="false" ht="23.85" hidden="false" customHeight="false" outlineLevel="0" collapsed="false">
      <c r="A156" s="2" t="s">
        <v>336</v>
      </c>
      <c r="B156" s="2" t="n">
        <v>4</v>
      </c>
      <c r="C156" s="2" t="s">
        <v>146</v>
      </c>
      <c r="D156" s="2" t="n">
        <v>5</v>
      </c>
      <c r="E156" s="2" t="s">
        <v>157</v>
      </c>
      <c r="F156" s="2" t="s">
        <v>22</v>
      </c>
      <c r="G156" s="2" t="s">
        <v>234</v>
      </c>
      <c r="H156" s="3" t="s">
        <v>347</v>
      </c>
      <c r="I156" s="2" t="s">
        <v>343</v>
      </c>
      <c r="J156" s="2" t="s">
        <v>394</v>
      </c>
      <c r="K156" s="3" t="s">
        <v>392</v>
      </c>
      <c r="L156" s="2" t="n">
        <f aca="false">MAX(1,ROUND(0.75*Inputs!$B$4*Inputs!$B$5^(B156-1)*INDEX(Inputs!$C$15:$C$23,MATCH("parsing",Inputs!$A$15:$A$23,0))/3*Inputs!$B$7*Inputs!$B$6^(D156-1)/Inputs!$B$12,0))</f>
        <v>67</v>
      </c>
      <c r="M156" s="2"/>
      <c r="N156" s="2"/>
      <c r="O156" s="2" t="s">
        <v>339</v>
      </c>
      <c r="P156" s="3"/>
      <c r="Q156" s="2" t="s">
        <v>345</v>
      </c>
      <c r="R156" s="2" t="n">
        <v>0.016667</v>
      </c>
      <c r="S156" s="2" t="s">
        <v>393</v>
      </c>
    </row>
    <row r="157" customFormat="false" ht="23.85" hidden="false" customHeight="false" outlineLevel="0" collapsed="false">
      <c r="A157" s="2" t="s">
        <v>336</v>
      </c>
      <c r="B157" s="2" t="n">
        <v>4</v>
      </c>
      <c r="C157" s="2" t="s">
        <v>146</v>
      </c>
      <c r="D157" s="2" t="n">
        <v>6</v>
      </c>
      <c r="E157" s="2" t="s">
        <v>159</v>
      </c>
      <c r="F157" s="2" t="s">
        <v>22</v>
      </c>
      <c r="G157" s="2" t="s">
        <v>349</v>
      </c>
      <c r="H157" s="3" t="s">
        <v>350</v>
      </c>
      <c r="I157" s="2" t="s">
        <v>41</v>
      </c>
      <c r="J157" s="2" t="s">
        <v>395</v>
      </c>
      <c r="K157" s="3" t="s">
        <v>392</v>
      </c>
      <c r="L157" s="2" t="n">
        <f aca="false">MAX(1,ROUND(0.75*Inputs!$B$4*Inputs!$B$5^(B157-1)*INDEX(Inputs!$C$15:$C$23,MATCH("parsing",Inputs!$A$15:$A$23,0))/3*Inputs!$B$7*Inputs!$B$6^(D157-1)/Inputs!$B$12,0))</f>
        <v>77</v>
      </c>
      <c r="M157" s="2"/>
      <c r="N157" s="2"/>
      <c r="O157" s="2" t="s">
        <v>339</v>
      </c>
      <c r="P157" s="3"/>
      <c r="Q157" s="2" t="s">
        <v>352</v>
      </c>
      <c r="R157" s="2" t="n">
        <v>1</v>
      </c>
      <c r="S157" s="2" t="s">
        <v>385</v>
      </c>
    </row>
    <row r="158" customFormat="false" ht="23.85" hidden="false" customHeight="false" outlineLevel="0" collapsed="false">
      <c r="A158" s="2" t="s">
        <v>336</v>
      </c>
      <c r="B158" s="2" t="n">
        <v>4</v>
      </c>
      <c r="C158" s="2" t="s">
        <v>146</v>
      </c>
      <c r="D158" s="2" t="n">
        <v>7</v>
      </c>
      <c r="E158" s="2" t="s">
        <v>161</v>
      </c>
      <c r="F158" s="2" t="s">
        <v>22</v>
      </c>
      <c r="G158" s="2" t="s">
        <v>349</v>
      </c>
      <c r="H158" s="3" t="s">
        <v>350</v>
      </c>
      <c r="I158" s="2" t="s">
        <v>41</v>
      </c>
      <c r="J158" s="2" t="s">
        <v>396</v>
      </c>
      <c r="K158" s="3" t="s">
        <v>392</v>
      </c>
      <c r="L158" s="2" t="n">
        <f aca="false">MAX(1,ROUND(0.75*Inputs!$B$4*Inputs!$B$5^(B158-1)*INDEX(Inputs!$C$15:$C$23,MATCH("parsing",Inputs!$A$15:$A$23,0))/3*Inputs!$B$7*Inputs!$B$6^(D158-1)/Inputs!$B$12,0))</f>
        <v>88</v>
      </c>
      <c r="M158" s="2"/>
      <c r="N158" s="2"/>
      <c r="O158" s="2" t="s">
        <v>339</v>
      </c>
      <c r="P158" s="3"/>
      <c r="Q158" s="2" t="s">
        <v>352</v>
      </c>
      <c r="R158" s="2" t="n">
        <v>1</v>
      </c>
      <c r="S158" s="2" t="s">
        <v>395</v>
      </c>
    </row>
    <row r="159" customFormat="false" ht="23.85" hidden="false" customHeight="false" outlineLevel="0" collapsed="false">
      <c r="A159" s="4" t="s">
        <v>336</v>
      </c>
      <c r="B159" s="4" t="n">
        <v>4</v>
      </c>
      <c r="C159" s="4" t="s">
        <v>146</v>
      </c>
      <c r="D159" s="4" t="n">
        <v>8</v>
      </c>
      <c r="E159" s="4" t="s">
        <v>163</v>
      </c>
      <c r="F159" s="4" t="s">
        <v>72</v>
      </c>
      <c r="G159" s="4" t="s">
        <v>355</v>
      </c>
      <c r="H159" s="5" t="s">
        <v>356</v>
      </c>
      <c r="I159" s="4" t="s">
        <v>357</v>
      </c>
      <c r="J159" s="4" t="s">
        <v>397</v>
      </c>
      <c r="K159" s="5" t="s">
        <v>392</v>
      </c>
      <c r="L159" s="4" t="n">
        <f aca="false">MAX(1,ROUND(0.75*Inputs!$B$4*Inputs!$B$5^(B159-1)*INDEX(Inputs!$C$15:$C$23,MATCH("parsing",Inputs!$A$15:$A$23,0))/3*Inputs!$B$7*Inputs!$B$6^(D159-1)/Inputs!$B$12,0))</f>
        <v>101</v>
      </c>
      <c r="M159" s="4"/>
      <c r="N159" s="4"/>
      <c r="O159" s="4" t="s">
        <v>339</v>
      </c>
      <c r="P159" s="5"/>
      <c r="Q159" s="4" t="s">
        <v>359</v>
      </c>
      <c r="R159" s="4" t="n">
        <v>0.01</v>
      </c>
      <c r="S159" s="4" t="s">
        <v>386</v>
      </c>
    </row>
    <row r="160" customFormat="false" ht="23.85" hidden="false" customHeight="false" outlineLevel="0" collapsed="false">
      <c r="A160" s="4" t="s">
        <v>336</v>
      </c>
      <c r="B160" s="4" t="n">
        <v>4</v>
      </c>
      <c r="C160" s="4" t="s">
        <v>146</v>
      </c>
      <c r="D160" s="4" t="n">
        <v>9</v>
      </c>
      <c r="E160" s="4" t="s">
        <v>165</v>
      </c>
      <c r="F160" s="4" t="s">
        <v>72</v>
      </c>
      <c r="G160" s="4" t="s">
        <v>361</v>
      </c>
      <c r="H160" s="5" t="s">
        <v>362</v>
      </c>
      <c r="I160" s="4" t="s">
        <v>363</v>
      </c>
      <c r="J160" s="4" t="s">
        <v>398</v>
      </c>
      <c r="K160" s="5" t="s">
        <v>392</v>
      </c>
      <c r="L160" s="4" t="n">
        <f aca="false">MAX(1,ROUND(0.75*Inputs!$B$4*Inputs!$B$5^(B160-1)*INDEX(Inputs!$C$15:$C$23,MATCH("parsing",Inputs!$A$15:$A$23,0))/3*Inputs!$B$7*Inputs!$B$6^(D160-1)/Inputs!$B$12,0))</f>
        <v>117</v>
      </c>
      <c r="M160" s="4"/>
      <c r="N160" s="4"/>
      <c r="O160" s="4" t="s">
        <v>339</v>
      </c>
      <c r="P160" s="5"/>
      <c r="Q160" s="4" t="s">
        <v>365</v>
      </c>
      <c r="R160" s="4" t="n">
        <v>0.1</v>
      </c>
      <c r="S160" s="4" t="s">
        <v>387</v>
      </c>
    </row>
    <row r="161" customFormat="false" ht="35.05" hidden="false" customHeight="false" outlineLevel="0" collapsed="false">
      <c r="A161" s="6" t="s">
        <v>336</v>
      </c>
      <c r="B161" s="6" t="n">
        <v>4</v>
      </c>
      <c r="C161" s="6" t="s">
        <v>146</v>
      </c>
      <c r="D161" s="6" t="n">
        <v>10</v>
      </c>
      <c r="E161" s="6" t="s">
        <v>167</v>
      </c>
      <c r="F161" s="6" t="s">
        <v>87</v>
      </c>
      <c r="G161" s="6" t="s">
        <v>399</v>
      </c>
      <c r="H161" s="7" t="s">
        <v>400</v>
      </c>
      <c r="I161" s="6" t="s">
        <v>90</v>
      </c>
      <c r="J161" s="6"/>
      <c r="K161" s="7" t="s">
        <v>392</v>
      </c>
      <c r="L161" s="6" t="n">
        <f aca="false">MAX(1,ROUND(0.75*Inputs!$B$4*Inputs!$B$5^(B161-1)*INDEX(Inputs!$C$15:$C$23,MATCH("parsing",Inputs!$A$15:$A$23,0))/3*Inputs!$B$7*Inputs!$B$6^(D161-1)/Inputs!$B$12,0))</f>
        <v>134</v>
      </c>
      <c r="M161" s="6" t="s">
        <v>401</v>
      </c>
      <c r="N161" s="6" t="n">
        <v>2</v>
      </c>
      <c r="O161" s="6" t="s">
        <v>339</v>
      </c>
      <c r="P161" s="7"/>
      <c r="Q161" s="6" t="s">
        <v>402</v>
      </c>
      <c r="R161" s="8" t="b">
        <f aca="false">TRUE()</f>
        <v>1</v>
      </c>
      <c r="S161" s="6" t="s">
        <v>93</v>
      </c>
    </row>
    <row r="162" customFormat="false" ht="23.85" hidden="false" customHeight="false" outlineLevel="0" collapsed="false">
      <c r="A162" s="2" t="s">
        <v>336</v>
      </c>
      <c r="B162" s="2" t="n">
        <v>5</v>
      </c>
      <c r="C162" s="2" t="s">
        <v>172</v>
      </c>
      <c r="D162" s="2" t="n">
        <v>1</v>
      </c>
      <c r="E162" s="2" t="s">
        <v>173</v>
      </c>
      <c r="F162" s="2" t="s">
        <v>22</v>
      </c>
      <c r="G162" s="2" t="s">
        <v>225</v>
      </c>
      <c r="H162" s="3" t="s">
        <v>337</v>
      </c>
      <c r="I162" s="2" t="s">
        <v>308</v>
      </c>
      <c r="J162" s="2" t="s">
        <v>309</v>
      </c>
      <c r="K162" s="3" t="s">
        <v>403</v>
      </c>
      <c r="L162" s="2" t="n">
        <f aca="false">MAX(1,ROUND(0.75*Inputs!$B$4*Inputs!$B$5^(B162-1)*INDEX(Inputs!$C$15:$C$23,MATCH("parsing",Inputs!$A$15:$A$23,0))/3*Inputs!$B$7*Inputs!$B$6^(D162-1)/Inputs!$B$12,0))</f>
        <v>42</v>
      </c>
      <c r="M162" s="2"/>
      <c r="N162" s="2"/>
      <c r="O162" s="2" t="s">
        <v>339</v>
      </c>
      <c r="P162" s="3"/>
      <c r="Q162" s="2" t="s">
        <v>340</v>
      </c>
      <c r="R162" s="2" t="n">
        <v>0.8438</v>
      </c>
      <c r="S162" s="2" t="s">
        <v>297</v>
      </c>
    </row>
    <row r="163" customFormat="false" ht="23.85" hidden="false" customHeight="false" outlineLevel="0" collapsed="false">
      <c r="A163" s="2" t="s">
        <v>336</v>
      </c>
      <c r="B163" s="2" t="n">
        <v>5</v>
      </c>
      <c r="C163" s="2" t="s">
        <v>172</v>
      </c>
      <c r="D163" s="2" t="n">
        <v>2</v>
      </c>
      <c r="E163" s="2" t="s">
        <v>177</v>
      </c>
      <c r="F163" s="2" t="s">
        <v>22</v>
      </c>
      <c r="G163" s="2" t="s">
        <v>225</v>
      </c>
      <c r="H163" s="3" t="s">
        <v>341</v>
      </c>
      <c r="I163" s="2" t="s">
        <v>308</v>
      </c>
      <c r="J163" s="2" t="s">
        <v>310</v>
      </c>
      <c r="K163" s="3" t="s">
        <v>403</v>
      </c>
      <c r="L163" s="2" t="n">
        <f aca="false">MAX(1,ROUND(0.75*Inputs!$B$4*Inputs!$B$5^(B163-1)*INDEX(Inputs!$C$15:$C$23,MATCH("parsing",Inputs!$A$15:$A$23,0))/3*Inputs!$B$7*Inputs!$B$6^(D163-1)/Inputs!$B$12,0))</f>
        <v>48</v>
      </c>
      <c r="M163" s="2"/>
      <c r="N163" s="2"/>
      <c r="O163" s="2" t="s">
        <v>339</v>
      </c>
      <c r="P163" s="3"/>
      <c r="Q163" s="2" t="s">
        <v>340</v>
      </c>
      <c r="R163" s="2" t="n">
        <v>0.8438</v>
      </c>
      <c r="S163" s="2" t="s">
        <v>309</v>
      </c>
    </row>
    <row r="164" customFormat="false" ht="23.85" hidden="false" customHeight="false" outlineLevel="0" collapsed="false">
      <c r="A164" s="2" t="s">
        <v>336</v>
      </c>
      <c r="B164" s="2" t="n">
        <v>5</v>
      </c>
      <c r="C164" s="2" t="s">
        <v>172</v>
      </c>
      <c r="D164" s="2" t="n">
        <v>3</v>
      </c>
      <c r="E164" s="2" t="s">
        <v>179</v>
      </c>
      <c r="F164" s="2" t="s">
        <v>22</v>
      </c>
      <c r="G164" s="2" t="s">
        <v>225</v>
      </c>
      <c r="H164" s="3" t="s">
        <v>341</v>
      </c>
      <c r="I164" s="2" t="s">
        <v>308</v>
      </c>
      <c r="J164" s="2" t="s">
        <v>311</v>
      </c>
      <c r="K164" s="3" t="s">
        <v>403</v>
      </c>
      <c r="L164" s="2" t="n">
        <f aca="false">MAX(1,ROUND(0.75*Inputs!$B$4*Inputs!$B$5^(B164-1)*INDEX(Inputs!$C$15:$C$23,MATCH("parsing",Inputs!$A$15:$A$23,0))/3*Inputs!$B$7*Inputs!$B$6^(D164-1)/Inputs!$B$12,0))</f>
        <v>55</v>
      </c>
      <c r="M164" s="2"/>
      <c r="N164" s="2"/>
      <c r="O164" s="2" t="s">
        <v>339</v>
      </c>
      <c r="P164" s="3"/>
      <c r="Q164" s="2" t="s">
        <v>340</v>
      </c>
      <c r="R164" s="2" t="n">
        <v>0.8438</v>
      </c>
      <c r="S164" s="2" t="s">
        <v>310</v>
      </c>
    </row>
    <row r="165" customFormat="false" ht="23.85" hidden="false" customHeight="false" outlineLevel="0" collapsed="false">
      <c r="A165" s="2" t="s">
        <v>336</v>
      </c>
      <c r="B165" s="2" t="n">
        <v>5</v>
      </c>
      <c r="C165" s="2" t="s">
        <v>172</v>
      </c>
      <c r="D165" s="2" t="n">
        <v>4</v>
      </c>
      <c r="E165" s="2" t="s">
        <v>181</v>
      </c>
      <c r="F165" s="2" t="s">
        <v>22</v>
      </c>
      <c r="G165" s="2" t="s">
        <v>234</v>
      </c>
      <c r="H165" s="3" t="s">
        <v>342</v>
      </c>
      <c r="I165" s="2" t="s">
        <v>343</v>
      </c>
      <c r="J165" s="2" t="s">
        <v>404</v>
      </c>
      <c r="K165" s="3" t="s">
        <v>403</v>
      </c>
      <c r="L165" s="2" t="n">
        <f aca="false">MAX(1,ROUND(0.75*Inputs!$B$4*Inputs!$B$5^(B165-1)*INDEX(Inputs!$C$15:$C$23,MATCH("parsing",Inputs!$A$15:$A$23,0))/3*Inputs!$B$7*Inputs!$B$6^(D165-1)/Inputs!$B$12,0))</f>
        <v>64</v>
      </c>
      <c r="M165" s="2"/>
      <c r="N165" s="2"/>
      <c r="O165" s="2" t="s">
        <v>339</v>
      </c>
      <c r="P165" s="3"/>
      <c r="Q165" s="2" t="s">
        <v>345</v>
      </c>
      <c r="R165" s="2" t="n">
        <v>0.016667</v>
      </c>
      <c r="S165" s="2" t="s">
        <v>394</v>
      </c>
    </row>
    <row r="166" customFormat="false" ht="23.85" hidden="false" customHeight="false" outlineLevel="0" collapsed="false">
      <c r="A166" s="2" t="s">
        <v>336</v>
      </c>
      <c r="B166" s="2" t="n">
        <v>5</v>
      </c>
      <c r="C166" s="2" t="s">
        <v>172</v>
      </c>
      <c r="D166" s="2" t="n">
        <v>5</v>
      </c>
      <c r="E166" s="2" t="s">
        <v>183</v>
      </c>
      <c r="F166" s="2" t="s">
        <v>22</v>
      </c>
      <c r="G166" s="2" t="s">
        <v>234</v>
      </c>
      <c r="H166" s="3" t="s">
        <v>347</v>
      </c>
      <c r="I166" s="2" t="s">
        <v>343</v>
      </c>
      <c r="J166" s="2" t="s">
        <v>405</v>
      </c>
      <c r="K166" s="3" t="s">
        <v>403</v>
      </c>
      <c r="L166" s="2" t="n">
        <f aca="false">MAX(1,ROUND(0.75*Inputs!$B$4*Inputs!$B$5^(B166-1)*INDEX(Inputs!$C$15:$C$23,MATCH("parsing",Inputs!$A$15:$A$23,0))/3*Inputs!$B$7*Inputs!$B$6^(D166-1)/Inputs!$B$12,0))</f>
        <v>73</v>
      </c>
      <c r="M166" s="2"/>
      <c r="N166" s="2"/>
      <c r="O166" s="2" t="s">
        <v>339</v>
      </c>
      <c r="P166" s="3"/>
      <c r="Q166" s="2" t="s">
        <v>345</v>
      </c>
      <c r="R166" s="2" t="n">
        <v>0.016667</v>
      </c>
      <c r="S166" s="2" t="s">
        <v>404</v>
      </c>
    </row>
    <row r="167" customFormat="false" ht="23.85" hidden="false" customHeight="false" outlineLevel="0" collapsed="false">
      <c r="A167" s="2" t="s">
        <v>336</v>
      </c>
      <c r="B167" s="2" t="n">
        <v>5</v>
      </c>
      <c r="C167" s="2" t="s">
        <v>172</v>
      </c>
      <c r="D167" s="2" t="n">
        <v>6</v>
      </c>
      <c r="E167" s="2" t="s">
        <v>185</v>
      </c>
      <c r="F167" s="2" t="s">
        <v>22</v>
      </c>
      <c r="G167" s="2" t="s">
        <v>349</v>
      </c>
      <c r="H167" s="3" t="s">
        <v>350</v>
      </c>
      <c r="I167" s="2" t="s">
        <v>41</v>
      </c>
      <c r="J167" s="2" t="s">
        <v>406</v>
      </c>
      <c r="K167" s="3" t="s">
        <v>403</v>
      </c>
      <c r="L167" s="2" t="n">
        <f aca="false">MAX(1,ROUND(0.75*Inputs!$B$4*Inputs!$B$5^(B167-1)*INDEX(Inputs!$C$15:$C$23,MATCH("parsing",Inputs!$A$15:$A$23,0))/3*Inputs!$B$7*Inputs!$B$6^(D167-1)/Inputs!$B$12,0))</f>
        <v>84</v>
      </c>
      <c r="M167" s="2"/>
      <c r="N167" s="2"/>
      <c r="O167" s="2" t="s">
        <v>339</v>
      </c>
      <c r="P167" s="3"/>
      <c r="Q167" s="2" t="s">
        <v>352</v>
      </c>
      <c r="R167" s="2" t="n">
        <v>1</v>
      </c>
      <c r="S167" s="2" t="s">
        <v>396</v>
      </c>
    </row>
    <row r="168" customFormat="false" ht="23.85" hidden="false" customHeight="false" outlineLevel="0" collapsed="false">
      <c r="A168" s="2" t="s">
        <v>336</v>
      </c>
      <c r="B168" s="2" t="n">
        <v>5</v>
      </c>
      <c r="C168" s="2" t="s">
        <v>172</v>
      </c>
      <c r="D168" s="2" t="n">
        <v>7</v>
      </c>
      <c r="E168" s="2" t="s">
        <v>187</v>
      </c>
      <c r="F168" s="2" t="s">
        <v>22</v>
      </c>
      <c r="G168" s="2" t="s">
        <v>349</v>
      </c>
      <c r="H168" s="3" t="s">
        <v>350</v>
      </c>
      <c r="I168" s="2" t="s">
        <v>41</v>
      </c>
      <c r="J168" s="2" t="s">
        <v>407</v>
      </c>
      <c r="K168" s="3" t="s">
        <v>403</v>
      </c>
      <c r="L168" s="2" t="n">
        <f aca="false">MAX(1,ROUND(0.75*Inputs!$B$4*Inputs!$B$5^(B168-1)*INDEX(Inputs!$C$15:$C$23,MATCH("parsing",Inputs!$A$15:$A$23,0))/3*Inputs!$B$7*Inputs!$B$6^(D168-1)/Inputs!$B$12,0))</f>
        <v>97</v>
      </c>
      <c r="M168" s="2"/>
      <c r="N168" s="2"/>
      <c r="O168" s="2" t="s">
        <v>339</v>
      </c>
      <c r="P168" s="3"/>
      <c r="Q168" s="2" t="s">
        <v>352</v>
      </c>
      <c r="R168" s="2" t="n">
        <v>1</v>
      </c>
      <c r="S168" s="2" t="s">
        <v>406</v>
      </c>
    </row>
    <row r="169" customFormat="false" ht="23.85" hidden="false" customHeight="false" outlineLevel="0" collapsed="false">
      <c r="A169" s="4" t="s">
        <v>336</v>
      </c>
      <c r="B169" s="4" t="n">
        <v>5</v>
      </c>
      <c r="C169" s="4" t="s">
        <v>172</v>
      </c>
      <c r="D169" s="4" t="n">
        <v>8</v>
      </c>
      <c r="E169" s="4" t="s">
        <v>189</v>
      </c>
      <c r="F169" s="4" t="s">
        <v>72</v>
      </c>
      <c r="G169" s="4" t="s">
        <v>355</v>
      </c>
      <c r="H169" s="5" t="s">
        <v>356</v>
      </c>
      <c r="I169" s="4" t="s">
        <v>357</v>
      </c>
      <c r="J169" s="4" t="s">
        <v>408</v>
      </c>
      <c r="K169" s="5" t="s">
        <v>403</v>
      </c>
      <c r="L169" s="4" t="n">
        <f aca="false">MAX(1,ROUND(0.75*Inputs!$B$4*Inputs!$B$5^(B169-1)*INDEX(Inputs!$C$15:$C$23,MATCH("parsing",Inputs!$A$15:$A$23,0))/3*Inputs!$B$7*Inputs!$B$6^(D169-1)/Inputs!$B$12,0))</f>
        <v>111</v>
      </c>
      <c r="M169" s="4"/>
      <c r="N169" s="4"/>
      <c r="O169" s="4" t="s">
        <v>339</v>
      </c>
      <c r="P169" s="5"/>
      <c r="Q169" s="4" t="s">
        <v>359</v>
      </c>
      <c r="R169" s="4" t="n">
        <v>0.01</v>
      </c>
      <c r="S169" s="4" t="s">
        <v>397</v>
      </c>
    </row>
    <row r="170" customFormat="false" ht="23.85" hidden="false" customHeight="false" outlineLevel="0" collapsed="false">
      <c r="A170" s="4" t="s">
        <v>336</v>
      </c>
      <c r="B170" s="4" t="n">
        <v>5</v>
      </c>
      <c r="C170" s="4" t="s">
        <v>172</v>
      </c>
      <c r="D170" s="4" t="n">
        <v>9</v>
      </c>
      <c r="E170" s="4" t="s">
        <v>191</v>
      </c>
      <c r="F170" s="4" t="s">
        <v>72</v>
      </c>
      <c r="G170" s="4" t="s">
        <v>361</v>
      </c>
      <c r="H170" s="5" t="s">
        <v>362</v>
      </c>
      <c r="I170" s="4" t="s">
        <v>363</v>
      </c>
      <c r="J170" s="4" t="s">
        <v>409</v>
      </c>
      <c r="K170" s="5" t="s">
        <v>403</v>
      </c>
      <c r="L170" s="4" t="n">
        <f aca="false">MAX(1,ROUND(0.75*Inputs!$B$4*Inputs!$B$5^(B170-1)*INDEX(Inputs!$C$15:$C$23,MATCH("parsing",Inputs!$A$15:$A$23,0))/3*Inputs!$B$7*Inputs!$B$6^(D170-1)/Inputs!$B$12,0))</f>
        <v>128</v>
      </c>
      <c r="M170" s="4"/>
      <c r="N170" s="4"/>
      <c r="O170" s="4" t="s">
        <v>339</v>
      </c>
      <c r="P170" s="5"/>
      <c r="Q170" s="4" t="s">
        <v>365</v>
      </c>
      <c r="R170" s="4" t="n">
        <v>0.1</v>
      </c>
      <c r="S170" s="4" t="s">
        <v>398</v>
      </c>
    </row>
    <row r="171" customFormat="false" ht="23.85" hidden="false" customHeight="false" outlineLevel="0" collapsed="false">
      <c r="A171" s="6" t="s">
        <v>336</v>
      </c>
      <c r="B171" s="6" t="n">
        <v>5</v>
      </c>
      <c r="C171" s="6" t="s">
        <v>172</v>
      </c>
      <c r="D171" s="6" t="n">
        <v>10</v>
      </c>
      <c r="E171" s="6" t="s">
        <v>193</v>
      </c>
      <c r="F171" s="6" t="s">
        <v>87</v>
      </c>
      <c r="G171" s="6" t="s">
        <v>318</v>
      </c>
      <c r="H171" s="7" t="s">
        <v>410</v>
      </c>
      <c r="I171" s="6" t="s">
        <v>90</v>
      </c>
      <c r="J171" s="6"/>
      <c r="K171" s="7" t="s">
        <v>403</v>
      </c>
      <c r="L171" s="6" t="n">
        <f aca="false">MAX(1,ROUND(0.75*Inputs!$B$4*Inputs!$B$5^(B171-1)*INDEX(Inputs!$C$15:$C$23,MATCH("parsing",Inputs!$A$15:$A$23,0))/3*Inputs!$B$7*Inputs!$B$6^(D171-1)/Inputs!$B$12,0))</f>
        <v>147</v>
      </c>
      <c r="M171" s="6" t="s">
        <v>411</v>
      </c>
      <c r="N171" s="6" t="n">
        <v>2</v>
      </c>
      <c r="O171" s="6" t="s">
        <v>339</v>
      </c>
      <c r="P171" s="7"/>
      <c r="Q171" s="6" t="s">
        <v>412</v>
      </c>
      <c r="R171" s="8" t="b">
        <f aca="false">TRUE()</f>
        <v>1</v>
      </c>
      <c r="S171" s="6" t="s">
        <v>93</v>
      </c>
    </row>
    <row r="172" customFormat="false" ht="23.85" hidden="false" customHeight="false" outlineLevel="0" collapsed="false">
      <c r="A172" s="2" t="s">
        <v>336</v>
      </c>
      <c r="B172" s="2" t="n">
        <v>6</v>
      </c>
      <c r="C172" s="2" t="s">
        <v>198</v>
      </c>
      <c r="D172" s="2" t="n">
        <v>1</v>
      </c>
      <c r="E172" s="2" t="s">
        <v>199</v>
      </c>
      <c r="F172" s="2" t="s">
        <v>22</v>
      </c>
      <c r="G172" s="2" t="s">
        <v>225</v>
      </c>
      <c r="H172" s="3" t="s">
        <v>337</v>
      </c>
      <c r="I172" s="2" t="s">
        <v>322</v>
      </c>
      <c r="J172" s="2" t="s">
        <v>323</v>
      </c>
      <c r="K172" s="3" t="s">
        <v>413</v>
      </c>
      <c r="L172" s="2" t="n">
        <f aca="false">MAX(1,ROUND(1*Inputs!$B$4*Inputs!$B$5^(B172-1)*INDEX(Inputs!$C$15:$C$23,MATCH("parsing",Inputs!$A$15:$A$23,0))/3*Inputs!$B$7*Inputs!$B$6^(D172-1)/Inputs!$B$12,0))</f>
        <v>61</v>
      </c>
      <c r="M172" s="2"/>
      <c r="N172" s="2"/>
      <c r="O172" s="2" t="s">
        <v>339</v>
      </c>
      <c r="P172" s="3"/>
      <c r="Q172" s="2" t="s">
        <v>340</v>
      </c>
      <c r="R172" s="2" t="n">
        <v>1.2656</v>
      </c>
      <c r="S172" s="2" t="s">
        <v>311</v>
      </c>
    </row>
    <row r="173" customFormat="false" ht="23.85" hidden="false" customHeight="false" outlineLevel="0" collapsed="false">
      <c r="A173" s="2" t="s">
        <v>336</v>
      </c>
      <c r="B173" s="2" t="n">
        <v>6</v>
      </c>
      <c r="C173" s="2" t="s">
        <v>198</v>
      </c>
      <c r="D173" s="2" t="n">
        <v>2</v>
      </c>
      <c r="E173" s="2" t="s">
        <v>203</v>
      </c>
      <c r="F173" s="2" t="s">
        <v>22</v>
      </c>
      <c r="G173" s="2" t="s">
        <v>225</v>
      </c>
      <c r="H173" s="3" t="s">
        <v>341</v>
      </c>
      <c r="I173" s="2" t="s">
        <v>322</v>
      </c>
      <c r="J173" s="2" t="s">
        <v>324</v>
      </c>
      <c r="K173" s="3" t="s">
        <v>413</v>
      </c>
      <c r="L173" s="2" t="n">
        <f aca="false">MAX(1,ROUND(1*Inputs!$B$4*Inputs!$B$5^(B173-1)*INDEX(Inputs!$C$15:$C$23,MATCH("parsing",Inputs!$A$15:$A$23,0))/3*Inputs!$B$7*Inputs!$B$6^(D173-1)/Inputs!$B$12,0))</f>
        <v>71</v>
      </c>
      <c r="M173" s="2"/>
      <c r="N173" s="2"/>
      <c r="O173" s="2" t="s">
        <v>339</v>
      </c>
      <c r="P173" s="3"/>
      <c r="Q173" s="2" t="s">
        <v>340</v>
      </c>
      <c r="R173" s="2" t="n">
        <v>1.2656</v>
      </c>
      <c r="S173" s="2" t="s">
        <v>323</v>
      </c>
    </row>
    <row r="174" customFormat="false" ht="23.85" hidden="false" customHeight="false" outlineLevel="0" collapsed="false">
      <c r="A174" s="2" t="s">
        <v>336</v>
      </c>
      <c r="B174" s="2" t="n">
        <v>6</v>
      </c>
      <c r="C174" s="2" t="s">
        <v>198</v>
      </c>
      <c r="D174" s="2" t="n">
        <v>3</v>
      </c>
      <c r="E174" s="2" t="s">
        <v>205</v>
      </c>
      <c r="F174" s="2" t="s">
        <v>22</v>
      </c>
      <c r="G174" s="2" t="s">
        <v>225</v>
      </c>
      <c r="H174" s="3" t="s">
        <v>341</v>
      </c>
      <c r="I174" s="2" t="s">
        <v>322</v>
      </c>
      <c r="J174" s="2" t="s">
        <v>325</v>
      </c>
      <c r="K174" s="3" t="s">
        <v>413</v>
      </c>
      <c r="L174" s="2" t="n">
        <f aca="false">MAX(1,ROUND(1*Inputs!$B$4*Inputs!$B$5^(B174-1)*INDEX(Inputs!$C$15:$C$23,MATCH("parsing",Inputs!$A$15:$A$23,0))/3*Inputs!$B$7*Inputs!$B$6^(D174-1)/Inputs!$B$12,0))</f>
        <v>81</v>
      </c>
      <c r="M174" s="2"/>
      <c r="N174" s="2"/>
      <c r="O174" s="2" t="s">
        <v>339</v>
      </c>
      <c r="P174" s="3"/>
      <c r="Q174" s="2" t="s">
        <v>340</v>
      </c>
      <c r="R174" s="2" t="n">
        <v>1.2656</v>
      </c>
      <c r="S174" s="2" t="s">
        <v>324</v>
      </c>
    </row>
    <row r="175" customFormat="false" ht="23.85" hidden="false" customHeight="false" outlineLevel="0" collapsed="false">
      <c r="A175" s="2" t="s">
        <v>336</v>
      </c>
      <c r="B175" s="2" t="n">
        <v>6</v>
      </c>
      <c r="C175" s="2" t="s">
        <v>198</v>
      </c>
      <c r="D175" s="2" t="n">
        <v>4</v>
      </c>
      <c r="E175" s="2" t="s">
        <v>207</v>
      </c>
      <c r="F175" s="2" t="s">
        <v>22</v>
      </c>
      <c r="G175" s="2" t="s">
        <v>234</v>
      </c>
      <c r="H175" s="3" t="s">
        <v>342</v>
      </c>
      <c r="I175" s="2" t="s">
        <v>343</v>
      </c>
      <c r="J175" s="2" t="s">
        <v>414</v>
      </c>
      <c r="K175" s="3" t="s">
        <v>413</v>
      </c>
      <c r="L175" s="2" t="n">
        <f aca="false">MAX(1,ROUND(1*Inputs!$B$4*Inputs!$B$5^(B175-1)*INDEX(Inputs!$C$15:$C$23,MATCH("parsing",Inputs!$A$15:$A$23,0))/3*Inputs!$B$7*Inputs!$B$6^(D175-1)/Inputs!$B$12,0))</f>
        <v>93</v>
      </c>
      <c r="M175" s="2"/>
      <c r="N175" s="2"/>
      <c r="O175" s="2" t="s">
        <v>339</v>
      </c>
      <c r="P175" s="3"/>
      <c r="Q175" s="2" t="s">
        <v>345</v>
      </c>
      <c r="R175" s="2" t="n">
        <v>0.016667</v>
      </c>
      <c r="S175" s="2" t="s">
        <v>405</v>
      </c>
    </row>
    <row r="176" customFormat="false" ht="23.85" hidden="false" customHeight="false" outlineLevel="0" collapsed="false">
      <c r="A176" s="2" t="s">
        <v>336</v>
      </c>
      <c r="B176" s="2" t="n">
        <v>6</v>
      </c>
      <c r="C176" s="2" t="s">
        <v>198</v>
      </c>
      <c r="D176" s="2" t="n">
        <v>5</v>
      </c>
      <c r="E176" s="2" t="s">
        <v>209</v>
      </c>
      <c r="F176" s="2" t="s">
        <v>22</v>
      </c>
      <c r="G176" s="2" t="s">
        <v>234</v>
      </c>
      <c r="H176" s="3" t="s">
        <v>347</v>
      </c>
      <c r="I176" s="2" t="s">
        <v>343</v>
      </c>
      <c r="J176" s="2" t="s">
        <v>415</v>
      </c>
      <c r="K176" s="3" t="s">
        <v>413</v>
      </c>
      <c r="L176" s="2" t="n">
        <f aca="false">MAX(1,ROUND(1*Inputs!$B$4*Inputs!$B$5^(B176-1)*INDEX(Inputs!$C$15:$C$23,MATCH("parsing",Inputs!$A$15:$A$23,0))/3*Inputs!$B$7*Inputs!$B$6^(D176-1)/Inputs!$B$12,0))</f>
        <v>108</v>
      </c>
      <c r="M176" s="2"/>
      <c r="N176" s="2"/>
      <c r="O176" s="2" t="s">
        <v>339</v>
      </c>
      <c r="P176" s="3"/>
      <c r="Q176" s="2" t="s">
        <v>345</v>
      </c>
      <c r="R176" s="2" t="n">
        <v>0.016667</v>
      </c>
      <c r="S176" s="2" t="s">
        <v>414</v>
      </c>
    </row>
    <row r="177" customFormat="false" ht="23.85" hidden="false" customHeight="false" outlineLevel="0" collapsed="false">
      <c r="A177" s="2" t="s">
        <v>336</v>
      </c>
      <c r="B177" s="2" t="n">
        <v>6</v>
      </c>
      <c r="C177" s="2" t="s">
        <v>198</v>
      </c>
      <c r="D177" s="2" t="n">
        <v>6</v>
      </c>
      <c r="E177" s="2" t="s">
        <v>211</v>
      </c>
      <c r="F177" s="2" t="s">
        <v>22</v>
      </c>
      <c r="G177" s="2" t="s">
        <v>349</v>
      </c>
      <c r="H177" s="3" t="s">
        <v>350</v>
      </c>
      <c r="I177" s="2" t="s">
        <v>41</v>
      </c>
      <c r="J177" s="2" t="s">
        <v>416</v>
      </c>
      <c r="K177" s="3" t="s">
        <v>413</v>
      </c>
      <c r="L177" s="2" t="n">
        <f aca="false">MAX(1,ROUND(1*Inputs!$B$4*Inputs!$B$5^(B177-1)*INDEX(Inputs!$C$15:$C$23,MATCH("parsing",Inputs!$A$15:$A$23,0))/3*Inputs!$B$7*Inputs!$B$6^(D177-1)/Inputs!$B$12,0))</f>
        <v>124</v>
      </c>
      <c r="M177" s="2"/>
      <c r="N177" s="2"/>
      <c r="O177" s="2" t="s">
        <v>339</v>
      </c>
      <c r="P177" s="3"/>
      <c r="Q177" s="2" t="s">
        <v>352</v>
      </c>
      <c r="R177" s="2" t="n">
        <v>1</v>
      </c>
      <c r="S177" s="2" t="s">
        <v>407</v>
      </c>
    </row>
    <row r="178" customFormat="false" ht="23.85" hidden="false" customHeight="false" outlineLevel="0" collapsed="false">
      <c r="A178" s="2" t="s">
        <v>336</v>
      </c>
      <c r="B178" s="2" t="n">
        <v>6</v>
      </c>
      <c r="C178" s="2" t="s">
        <v>198</v>
      </c>
      <c r="D178" s="2" t="n">
        <v>7</v>
      </c>
      <c r="E178" s="2" t="s">
        <v>213</v>
      </c>
      <c r="F178" s="2" t="s">
        <v>22</v>
      </c>
      <c r="G178" s="2" t="s">
        <v>349</v>
      </c>
      <c r="H178" s="3" t="s">
        <v>350</v>
      </c>
      <c r="I178" s="2" t="s">
        <v>41</v>
      </c>
      <c r="J178" s="2" t="s">
        <v>417</v>
      </c>
      <c r="K178" s="3" t="s">
        <v>413</v>
      </c>
      <c r="L178" s="2" t="n">
        <f aca="false">MAX(1,ROUND(1*Inputs!$B$4*Inputs!$B$5^(B178-1)*INDEX(Inputs!$C$15:$C$23,MATCH("parsing",Inputs!$A$15:$A$23,0))/3*Inputs!$B$7*Inputs!$B$6^(D178-1)/Inputs!$B$12,0))</f>
        <v>142</v>
      </c>
      <c r="M178" s="2"/>
      <c r="N178" s="2"/>
      <c r="O178" s="2" t="s">
        <v>339</v>
      </c>
      <c r="P178" s="3"/>
      <c r="Q178" s="2" t="s">
        <v>352</v>
      </c>
      <c r="R178" s="2" t="n">
        <v>1</v>
      </c>
      <c r="S178" s="2" t="s">
        <v>416</v>
      </c>
    </row>
    <row r="179" customFormat="false" ht="23.85" hidden="false" customHeight="false" outlineLevel="0" collapsed="false">
      <c r="A179" s="4" t="s">
        <v>336</v>
      </c>
      <c r="B179" s="4" t="n">
        <v>6</v>
      </c>
      <c r="C179" s="4" t="s">
        <v>198</v>
      </c>
      <c r="D179" s="4" t="n">
        <v>8</v>
      </c>
      <c r="E179" s="4" t="s">
        <v>215</v>
      </c>
      <c r="F179" s="4" t="s">
        <v>72</v>
      </c>
      <c r="G179" s="4" t="s">
        <v>355</v>
      </c>
      <c r="H179" s="5" t="s">
        <v>356</v>
      </c>
      <c r="I179" s="4" t="s">
        <v>357</v>
      </c>
      <c r="J179" s="4" t="s">
        <v>418</v>
      </c>
      <c r="K179" s="5" t="s">
        <v>413</v>
      </c>
      <c r="L179" s="4" t="n">
        <f aca="false">MAX(1,ROUND(1*Inputs!$B$4*Inputs!$B$5^(B179-1)*INDEX(Inputs!$C$15:$C$23,MATCH("parsing",Inputs!$A$15:$A$23,0))/3*Inputs!$B$7*Inputs!$B$6^(D179-1)/Inputs!$B$12,0))</f>
        <v>164</v>
      </c>
      <c r="M179" s="4"/>
      <c r="N179" s="4"/>
      <c r="O179" s="4" t="s">
        <v>339</v>
      </c>
      <c r="P179" s="5"/>
      <c r="Q179" s="4" t="s">
        <v>359</v>
      </c>
      <c r="R179" s="4" t="n">
        <v>0.01</v>
      </c>
      <c r="S179" s="4" t="s">
        <v>408</v>
      </c>
    </row>
    <row r="180" customFormat="false" ht="23.85" hidden="false" customHeight="false" outlineLevel="0" collapsed="false">
      <c r="A180" s="4" t="s">
        <v>336</v>
      </c>
      <c r="B180" s="4" t="n">
        <v>6</v>
      </c>
      <c r="C180" s="4" t="s">
        <v>198</v>
      </c>
      <c r="D180" s="4" t="n">
        <v>9</v>
      </c>
      <c r="E180" s="4" t="s">
        <v>217</v>
      </c>
      <c r="F180" s="4" t="s">
        <v>72</v>
      </c>
      <c r="G180" s="4" t="s">
        <v>361</v>
      </c>
      <c r="H180" s="5" t="s">
        <v>362</v>
      </c>
      <c r="I180" s="4" t="s">
        <v>363</v>
      </c>
      <c r="J180" s="4" t="s">
        <v>419</v>
      </c>
      <c r="K180" s="5" t="s">
        <v>413</v>
      </c>
      <c r="L180" s="4" t="n">
        <f aca="false">MAX(1,ROUND(1*Inputs!$B$4*Inputs!$B$5^(B180-1)*INDEX(Inputs!$C$15:$C$23,MATCH("parsing",Inputs!$A$15:$A$23,0))/3*Inputs!$B$7*Inputs!$B$6^(D180-1)/Inputs!$B$12,0))</f>
        <v>188</v>
      </c>
      <c r="M180" s="4"/>
      <c r="N180" s="4"/>
      <c r="O180" s="4" t="s">
        <v>339</v>
      </c>
      <c r="P180" s="5"/>
      <c r="Q180" s="4" t="s">
        <v>365</v>
      </c>
      <c r="R180" s="4" t="n">
        <v>0.1</v>
      </c>
      <c r="S180" s="4" t="s">
        <v>409</v>
      </c>
    </row>
    <row r="181" customFormat="false" ht="23.85" hidden="false" customHeight="false" outlineLevel="0" collapsed="false">
      <c r="A181" s="6" t="s">
        <v>336</v>
      </c>
      <c r="B181" s="6" t="n">
        <v>6</v>
      </c>
      <c r="C181" s="6" t="s">
        <v>198</v>
      </c>
      <c r="D181" s="6" t="n">
        <v>10</v>
      </c>
      <c r="E181" s="6" t="s">
        <v>219</v>
      </c>
      <c r="F181" s="6" t="s">
        <v>87</v>
      </c>
      <c r="G181" s="6" t="s">
        <v>420</v>
      </c>
      <c r="H181" s="7" t="s">
        <v>421</v>
      </c>
      <c r="I181" s="6" t="s">
        <v>90</v>
      </c>
      <c r="J181" s="6"/>
      <c r="K181" s="7" t="s">
        <v>413</v>
      </c>
      <c r="L181" s="6" t="n">
        <f aca="false">MAX(1,ROUND(1*Inputs!$B$4*Inputs!$B$5^(B181-1)*INDEX(Inputs!$C$15:$C$23,MATCH("parsing",Inputs!$A$15:$A$23,0))/3*Inputs!$B$7*Inputs!$B$6^(D181-1)/Inputs!$B$12,0))</f>
        <v>216</v>
      </c>
      <c r="M181" s="6" t="s">
        <v>422</v>
      </c>
      <c r="N181" s="6" t="n">
        <v>2</v>
      </c>
      <c r="O181" s="6" t="s">
        <v>339</v>
      </c>
      <c r="P181" s="7"/>
      <c r="Q181" s="6" t="s">
        <v>423</v>
      </c>
      <c r="R181" s="8" t="b">
        <f aca="false">TRUE()</f>
        <v>1</v>
      </c>
      <c r="S181" s="6" t="s">
        <v>93</v>
      </c>
    </row>
    <row r="182" customFormat="false" ht="23.85" hidden="false" customHeight="false" outlineLevel="0" collapsed="false">
      <c r="A182" s="2" t="s">
        <v>424</v>
      </c>
      <c r="B182" s="2" t="n">
        <v>1</v>
      </c>
      <c r="C182" s="2" t="s">
        <v>20</v>
      </c>
      <c r="D182" s="2" t="n">
        <v>1</v>
      </c>
      <c r="E182" s="2" t="s">
        <v>21</v>
      </c>
      <c r="F182" s="2" t="s">
        <v>22</v>
      </c>
      <c r="G182" s="2" t="s">
        <v>225</v>
      </c>
      <c r="H182" s="3" t="s">
        <v>425</v>
      </c>
      <c r="I182" s="2" t="s">
        <v>227</v>
      </c>
      <c r="J182" s="2" t="s">
        <v>228</v>
      </c>
      <c r="K182" s="3" t="s">
        <v>426</v>
      </c>
      <c r="L182" s="2" t="n">
        <f aca="false">MAX(1,ROUND(0.3*Inputs!$B$4*Inputs!$B$5^(B182-1)*INDEX(Inputs!$C$15:$C$23,MATCH("cracking",Inputs!$A$15:$A$23,0))*Inputs!$B$7*Inputs!$B$6^(D182-1)/Inputs!$B$12,0))</f>
        <v>14</v>
      </c>
      <c r="M182" s="2"/>
      <c r="N182" s="2"/>
      <c r="O182" s="2" t="s">
        <v>427</v>
      </c>
      <c r="P182" s="3"/>
      <c r="Q182" s="2" t="s">
        <v>428</v>
      </c>
      <c r="R182" s="2" t="n">
        <v>0.1667</v>
      </c>
      <c r="S182" s="2" t="s">
        <v>230</v>
      </c>
    </row>
    <row r="183" customFormat="false" ht="15" hidden="false" customHeight="false" outlineLevel="0" collapsed="false">
      <c r="A183" s="2" t="s">
        <v>424</v>
      </c>
      <c r="B183" s="2" t="n">
        <v>1</v>
      </c>
      <c r="C183" s="2" t="s">
        <v>20</v>
      </c>
      <c r="D183" s="2" t="n">
        <v>2</v>
      </c>
      <c r="E183" s="2" t="s">
        <v>31</v>
      </c>
      <c r="F183" s="2" t="s">
        <v>22</v>
      </c>
      <c r="G183" s="2" t="s">
        <v>225</v>
      </c>
      <c r="H183" s="3" t="s">
        <v>429</v>
      </c>
      <c r="I183" s="2" t="s">
        <v>227</v>
      </c>
      <c r="J183" s="2" t="s">
        <v>232</v>
      </c>
      <c r="K183" s="3" t="s">
        <v>426</v>
      </c>
      <c r="L183" s="2" t="n">
        <f aca="false">MAX(1,ROUND(0.3*Inputs!$B$4*Inputs!$B$5^(B183-1)*INDEX(Inputs!$C$15:$C$23,MATCH("cracking",Inputs!$A$15:$A$23,0))*Inputs!$B$7*Inputs!$B$6^(D183-1)/Inputs!$B$12,0))</f>
        <v>16</v>
      </c>
      <c r="M183" s="2"/>
      <c r="N183" s="2"/>
      <c r="O183" s="2" t="s">
        <v>427</v>
      </c>
      <c r="P183" s="3"/>
      <c r="Q183" s="2" t="s">
        <v>428</v>
      </c>
      <c r="R183" s="2" t="n">
        <v>0.1667</v>
      </c>
      <c r="S183" s="2" t="s">
        <v>228</v>
      </c>
    </row>
    <row r="184" customFormat="false" ht="15" hidden="false" customHeight="false" outlineLevel="0" collapsed="false">
      <c r="A184" s="2" t="s">
        <v>424</v>
      </c>
      <c r="B184" s="2" t="n">
        <v>1</v>
      </c>
      <c r="C184" s="2" t="s">
        <v>20</v>
      </c>
      <c r="D184" s="2" t="n">
        <v>3</v>
      </c>
      <c r="E184" s="2" t="s">
        <v>38</v>
      </c>
      <c r="F184" s="2" t="s">
        <v>22</v>
      </c>
      <c r="G184" s="2" t="s">
        <v>225</v>
      </c>
      <c r="H184" s="3" t="s">
        <v>429</v>
      </c>
      <c r="I184" s="2" t="s">
        <v>227</v>
      </c>
      <c r="J184" s="2" t="s">
        <v>233</v>
      </c>
      <c r="K184" s="3" t="s">
        <v>426</v>
      </c>
      <c r="L184" s="2" t="n">
        <f aca="false">MAX(1,ROUND(0.3*Inputs!$B$4*Inputs!$B$5^(B184-1)*INDEX(Inputs!$C$15:$C$23,MATCH("cracking",Inputs!$A$15:$A$23,0))*Inputs!$B$7*Inputs!$B$6^(D184-1)/Inputs!$B$12,0))</f>
        <v>18</v>
      </c>
      <c r="M184" s="2"/>
      <c r="N184" s="2"/>
      <c r="O184" s="2" t="s">
        <v>427</v>
      </c>
      <c r="P184" s="3"/>
      <c r="Q184" s="2" t="s">
        <v>428</v>
      </c>
      <c r="R184" s="2" t="n">
        <v>0.1667</v>
      </c>
      <c r="S184" s="2" t="s">
        <v>232</v>
      </c>
    </row>
    <row r="185" customFormat="false" ht="23.85" hidden="false" customHeight="false" outlineLevel="0" collapsed="false">
      <c r="A185" s="2" t="s">
        <v>424</v>
      </c>
      <c r="B185" s="2" t="n">
        <v>1</v>
      </c>
      <c r="C185" s="2" t="s">
        <v>20</v>
      </c>
      <c r="D185" s="2" t="n">
        <v>4</v>
      </c>
      <c r="E185" s="2" t="s">
        <v>47</v>
      </c>
      <c r="F185" s="2" t="s">
        <v>22</v>
      </c>
      <c r="G185" s="2" t="s">
        <v>234</v>
      </c>
      <c r="H185" s="3" t="s">
        <v>430</v>
      </c>
      <c r="I185" s="2" t="s">
        <v>343</v>
      </c>
      <c r="J185" s="2" t="s">
        <v>431</v>
      </c>
      <c r="K185" s="3" t="s">
        <v>426</v>
      </c>
      <c r="L185" s="2" t="n">
        <f aca="false">MAX(1,ROUND(0.3*Inputs!$B$4*Inputs!$B$5^(B185-1)*INDEX(Inputs!$C$15:$C$23,MATCH("cracking",Inputs!$A$15:$A$23,0))*Inputs!$B$7*Inputs!$B$6^(D185-1)/Inputs!$B$12,0))</f>
        <v>21</v>
      </c>
      <c r="M185" s="2"/>
      <c r="N185" s="2"/>
      <c r="O185" s="2" t="s">
        <v>427</v>
      </c>
      <c r="P185" s="3"/>
      <c r="Q185" s="2" t="s">
        <v>432</v>
      </c>
      <c r="R185" s="2" t="n">
        <v>0.016667</v>
      </c>
      <c r="S185" s="2" t="s">
        <v>433</v>
      </c>
    </row>
    <row r="186" customFormat="false" ht="15" hidden="false" customHeight="false" outlineLevel="0" collapsed="false">
      <c r="A186" s="2" t="s">
        <v>424</v>
      </c>
      <c r="B186" s="2" t="n">
        <v>1</v>
      </c>
      <c r="C186" s="2" t="s">
        <v>20</v>
      </c>
      <c r="D186" s="2" t="n">
        <v>5</v>
      </c>
      <c r="E186" s="2" t="s">
        <v>54</v>
      </c>
      <c r="F186" s="2" t="s">
        <v>22</v>
      </c>
      <c r="G186" s="2" t="s">
        <v>234</v>
      </c>
      <c r="H186" s="3" t="s">
        <v>434</v>
      </c>
      <c r="I186" s="2" t="s">
        <v>343</v>
      </c>
      <c r="J186" s="2" t="s">
        <v>435</v>
      </c>
      <c r="K186" s="3" t="s">
        <v>426</v>
      </c>
      <c r="L186" s="2" t="n">
        <f aca="false">MAX(1,ROUND(0.3*Inputs!$B$4*Inputs!$B$5^(B186-1)*INDEX(Inputs!$C$15:$C$23,MATCH("cracking",Inputs!$A$15:$A$23,0))*Inputs!$B$7*Inputs!$B$6^(D186-1)/Inputs!$B$12,0))</f>
        <v>24</v>
      </c>
      <c r="M186" s="2"/>
      <c r="N186" s="2"/>
      <c r="O186" s="2" t="s">
        <v>427</v>
      </c>
      <c r="P186" s="3"/>
      <c r="Q186" s="2" t="s">
        <v>432</v>
      </c>
      <c r="R186" s="2" t="n">
        <v>0.016667</v>
      </c>
      <c r="S186" s="2" t="s">
        <v>431</v>
      </c>
    </row>
    <row r="187" customFormat="false" ht="35.05" hidden="false" customHeight="false" outlineLevel="0" collapsed="false">
      <c r="A187" s="2" t="s">
        <v>424</v>
      </c>
      <c r="B187" s="2" t="n">
        <v>1</v>
      </c>
      <c r="C187" s="2" t="s">
        <v>20</v>
      </c>
      <c r="D187" s="2" t="n">
        <v>6</v>
      </c>
      <c r="E187" s="2" t="s">
        <v>57</v>
      </c>
      <c r="F187" s="2" t="s">
        <v>22</v>
      </c>
      <c r="G187" s="2" t="s">
        <v>436</v>
      </c>
      <c r="H187" s="3" t="s">
        <v>437</v>
      </c>
      <c r="I187" s="2" t="s">
        <v>343</v>
      </c>
      <c r="J187" s="2" t="s">
        <v>438</v>
      </c>
      <c r="K187" s="3" t="s">
        <v>426</v>
      </c>
      <c r="L187" s="2" t="n">
        <f aca="false">MAX(1,ROUND(0.3*Inputs!$B$4*Inputs!$B$5^(B187-1)*INDEX(Inputs!$C$15:$C$23,MATCH("cracking",Inputs!$A$15:$A$23,0))*Inputs!$B$7*Inputs!$B$6^(D187-1)/Inputs!$B$12,0))</f>
        <v>28</v>
      </c>
      <c r="M187" s="2"/>
      <c r="N187" s="2"/>
      <c r="O187" s="2" t="s">
        <v>427</v>
      </c>
      <c r="P187" s="3"/>
      <c r="Q187" s="2" t="s">
        <v>439</v>
      </c>
      <c r="R187" s="2" t="n">
        <v>0.016667</v>
      </c>
      <c r="S187" s="2" t="s">
        <v>440</v>
      </c>
    </row>
    <row r="188" customFormat="false" ht="15" hidden="false" customHeight="false" outlineLevel="0" collapsed="false">
      <c r="A188" s="2" t="s">
        <v>424</v>
      </c>
      <c r="B188" s="2" t="n">
        <v>1</v>
      </c>
      <c r="C188" s="2" t="s">
        <v>20</v>
      </c>
      <c r="D188" s="2" t="n">
        <v>7</v>
      </c>
      <c r="E188" s="2" t="s">
        <v>64</v>
      </c>
      <c r="F188" s="2" t="s">
        <v>22</v>
      </c>
      <c r="G188" s="2" t="s">
        <v>436</v>
      </c>
      <c r="H188" s="3" t="s">
        <v>441</v>
      </c>
      <c r="I188" s="2" t="s">
        <v>343</v>
      </c>
      <c r="J188" s="2" t="s">
        <v>442</v>
      </c>
      <c r="K188" s="3" t="s">
        <v>426</v>
      </c>
      <c r="L188" s="2" t="n">
        <f aca="false">MAX(1,ROUND(0.3*Inputs!$B$4*Inputs!$B$5^(B188-1)*INDEX(Inputs!$C$15:$C$23,MATCH("cracking",Inputs!$A$15:$A$23,0))*Inputs!$B$7*Inputs!$B$6^(D188-1)/Inputs!$B$12,0))</f>
        <v>32</v>
      </c>
      <c r="M188" s="2"/>
      <c r="N188" s="2"/>
      <c r="O188" s="2" t="s">
        <v>427</v>
      </c>
      <c r="P188" s="3"/>
      <c r="Q188" s="2" t="s">
        <v>439</v>
      </c>
      <c r="R188" s="2" t="n">
        <v>0.016667</v>
      </c>
      <c r="S188" s="2" t="s">
        <v>438</v>
      </c>
    </row>
    <row r="189" customFormat="false" ht="15" hidden="false" customHeight="false" outlineLevel="0" collapsed="false">
      <c r="A189" s="4" t="s">
        <v>424</v>
      </c>
      <c r="B189" s="4" t="n">
        <v>1</v>
      </c>
      <c r="C189" s="4" t="s">
        <v>20</v>
      </c>
      <c r="D189" s="4" t="n">
        <v>8</v>
      </c>
      <c r="E189" s="4" t="s">
        <v>71</v>
      </c>
      <c r="F189" s="4" t="s">
        <v>72</v>
      </c>
      <c r="G189" s="4" t="s">
        <v>443</v>
      </c>
      <c r="H189" s="5" t="s">
        <v>444</v>
      </c>
      <c r="I189" s="4" t="s">
        <v>445</v>
      </c>
      <c r="J189" s="4" t="s">
        <v>446</v>
      </c>
      <c r="K189" s="5" t="s">
        <v>426</v>
      </c>
      <c r="L189" s="4" t="n">
        <f aca="false">MAX(1,ROUND(0.3*Inputs!$B$4*Inputs!$B$5^(B189-1)*INDEX(Inputs!$C$15:$C$23,MATCH("cracking",Inputs!$A$15:$A$23,0))*Inputs!$B$7*Inputs!$B$6^(D189-1)/Inputs!$B$12,0))</f>
        <v>37</v>
      </c>
      <c r="M189" s="4"/>
      <c r="N189" s="4"/>
      <c r="O189" s="4" t="s">
        <v>427</v>
      </c>
      <c r="P189" s="5"/>
      <c r="Q189" s="4" t="s">
        <v>447</v>
      </c>
      <c r="R189" s="4" t="n">
        <v>0.08</v>
      </c>
      <c r="S189" s="4" t="s">
        <v>448</v>
      </c>
    </row>
    <row r="190" customFormat="false" ht="15" hidden="false" customHeight="false" outlineLevel="0" collapsed="false">
      <c r="A190" s="4" t="s">
        <v>424</v>
      </c>
      <c r="B190" s="4" t="n">
        <v>1</v>
      </c>
      <c r="C190" s="4" t="s">
        <v>20</v>
      </c>
      <c r="D190" s="4" t="n">
        <v>9</v>
      </c>
      <c r="E190" s="4" t="s">
        <v>79</v>
      </c>
      <c r="F190" s="4" t="s">
        <v>72</v>
      </c>
      <c r="G190" s="4" t="s">
        <v>449</v>
      </c>
      <c r="H190" s="5" t="s">
        <v>450</v>
      </c>
      <c r="I190" s="4" t="s">
        <v>363</v>
      </c>
      <c r="J190" s="4" t="s">
        <v>451</v>
      </c>
      <c r="K190" s="5" t="s">
        <v>426</v>
      </c>
      <c r="L190" s="4" t="n">
        <f aca="false">MAX(1,ROUND(0.3*Inputs!$B$4*Inputs!$B$5^(B190-1)*INDEX(Inputs!$C$15:$C$23,MATCH("cracking",Inputs!$A$15:$A$23,0))*Inputs!$B$7*Inputs!$B$6^(D190-1)/Inputs!$B$12,0))</f>
        <v>42</v>
      </c>
      <c r="M190" s="4"/>
      <c r="N190" s="4"/>
      <c r="O190" s="4" t="s">
        <v>427</v>
      </c>
      <c r="P190" s="5"/>
      <c r="Q190" s="4" t="s">
        <v>452</v>
      </c>
      <c r="R190" s="4" t="n">
        <v>0.1</v>
      </c>
      <c r="S190" s="4" t="s">
        <v>453</v>
      </c>
    </row>
    <row r="191" customFormat="false" ht="23.85" hidden="false" customHeight="false" outlineLevel="0" collapsed="false">
      <c r="A191" s="6" t="s">
        <v>424</v>
      </c>
      <c r="B191" s="6" t="n">
        <v>1</v>
      </c>
      <c r="C191" s="6" t="s">
        <v>20</v>
      </c>
      <c r="D191" s="6" t="n">
        <v>10</v>
      </c>
      <c r="E191" s="6" t="s">
        <v>86</v>
      </c>
      <c r="F191" s="6" t="s">
        <v>87</v>
      </c>
      <c r="G191" s="6" t="s">
        <v>262</v>
      </c>
      <c r="H191" s="7" t="s">
        <v>367</v>
      </c>
      <c r="I191" s="6" t="s">
        <v>90</v>
      </c>
      <c r="J191" s="6"/>
      <c r="K191" s="7" t="s">
        <v>426</v>
      </c>
      <c r="L191" s="6" t="n">
        <f aca="false">MAX(1,ROUND(0.3*Inputs!$B$4*Inputs!$B$5^(B191-1)*INDEX(Inputs!$C$15:$C$23,MATCH("cracking",Inputs!$A$15:$A$23,0))*Inputs!$B$7*Inputs!$B$6^(D191-1)/Inputs!$B$12,0))</f>
        <v>49</v>
      </c>
      <c r="M191" s="6" t="s">
        <v>454</v>
      </c>
      <c r="N191" s="6" t="n">
        <v>1</v>
      </c>
      <c r="O191" s="6" t="s">
        <v>427</v>
      </c>
      <c r="P191" s="7"/>
      <c r="Q191" s="6" t="s">
        <v>455</v>
      </c>
      <c r="R191" s="8" t="b">
        <f aca="false">TRUE()</f>
        <v>1</v>
      </c>
      <c r="S191" s="6" t="s">
        <v>93</v>
      </c>
    </row>
    <row r="192" customFormat="false" ht="23.85" hidden="false" customHeight="false" outlineLevel="0" collapsed="false">
      <c r="A192" s="2" t="s">
        <v>424</v>
      </c>
      <c r="B192" s="2" t="n">
        <v>2</v>
      </c>
      <c r="C192" s="2" t="s">
        <v>94</v>
      </c>
      <c r="D192" s="2" t="n">
        <v>1</v>
      </c>
      <c r="E192" s="2" t="s">
        <v>95</v>
      </c>
      <c r="F192" s="2" t="s">
        <v>22</v>
      </c>
      <c r="G192" s="2" t="s">
        <v>225</v>
      </c>
      <c r="H192" s="3" t="s">
        <v>425</v>
      </c>
      <c r="I192" s="2" t="s">
        <v>266</v>
      </c>
      <c r="J192" s="2" t="s">
        <v>267</v>
      </c>
      <c r="K192" s="3" t="s">
        <v>456</v>
      </c>
      <c r="L192" s="2" t="n">
        <f aca="false">MAX(1,ROUND(0.7*Inputs!$B$4*Inputs!$B$5^(B192-1)*INDEX(Inputs!$C$15:$C$23,MATCH("cracking",Inputs!$A$15:$A$23,0))*Inputs!$B$7*Inputs!$B$6^(D192-1)/Inputs!$B$12,0))</f>
        <v>36</v>
      </c>
      <c r="M192" s="2"/>
      <c r="N192" s="2"/>
      <c r="O192" s="2" t="s">
        <v>427</v>
      </c>
      <c r="P192" s="3"/>
      <c r="Q192" s="2" t="s">
        <v>428</v>
      </c>
      <c r="R192" s="2" t="n">
        <v>0.25</v>
      </c>
      <c r="S192" s="2" t="s">
        <v>233</v>
      </c>
    </row>
    <row r="193" customFormat="false" ht="15" hidden="false" customHeight="false" outlineLevel="0" collapsed="false">
      <c r="A193" s="2" t="s">
        <v>424</v>
      </c>
      <c r="B193" s="2" t="n">
        <v>2</v>
      </c>
      <c r="C193" s="2" t="s">
        <v>94</v>
      </c>
      <c r="D193" s="2" t="n">
        <v>2</v>
      </c>
      <c r="E193" s="2" t="s">
        <v>99</v>
      </c>
      <c r="F193" s="2" t="s">
        <v>22</v>
      </c>
      <c r="G193" s="2" t="s">
        <v>225</v>
      </c>
      <c r="H193" s="3" t="s">
        <v>429</v>
      </c>
      <c r="I193" s="2" t="s">
        <v>266</v>
      </c>
      <c r="J193" s="2" t="s">
        <v>268</v>
      </c>
      <c r="K193" s="3" t="s">
        <v>456</v>
      </c>
      <c r="L193" s="2" t="n">
        <f aca="false">MAX(1,ROUND(0.7*Inputs!$B$4*Inputs!$B$5^(B193-1)*INDEX(Inputs!$C$15:$C$23,MATCH("cracking",Inputs!$A$15:$A$23,0))*Inputs!$B$7*Inputs!$B$6^(D193-1)/Inputs!$B$12,0))</f>
        <v>41</v>
      </c>
      <c r="M193" s="2"/>
      <c r="N193" s="2"/>
      <c r="O193" s="2" t="s">
        <v>427</v>
      </c>
      <c r="P193" s="3"/>
      <c r="Q193" s="2" t="s">
        <v>428</v>
      </c>
      <c r="R193" s="2" t="n">
        <v>0.25</v>
      </c>
      <c r="S193" s="2" t="s">
        <v>267</v>
      </c>
    </row>
    <row r="194" customFormat="false" ht="15" hidden="false" customHeight="false" outlineLevel="0" collapsed="false">
      <c r="A194" s="2" t="s">
        <v>424</v>
      </c>
      <c r="B194" s="2" t="n">
        <v>2</v>
      </c>
      <c r="C194" s="2" t="s">
        <v>94</v>
      </c>
      <c r="D194" s="2" t="n">
        <v>3</v>
      </c>
      <c r="E194" s="2" t="s">
        <v>101</v>
      </c>
      <c r="F194" s="2" t="s">
        <v>22</v>
      </c>
      <c r="G194" s="2" t="s">
        <v>225</v>
      </c>
      <c r="H194" s="3" t="s">
        <v>429</v>
      </c>
      <c r="I194" s="2" t="s">
        <v>266</v>
      </c>
      <c r="J194" s="2" t="s">
        <v>269</v>
      </c>
      <c r="K194" s="3" t="s">
        <v>456</v>
      </c>
      <c r="L194" s="2" t="n">
        <f aca="false">MAX(1,ROUND(0.7*Inputs!$B$4*Inputs!$B$5^(B194-1)*INDEX(Inputs!$C$15:$C$23,MATCH("cracking",Inputs!$A$15:$A$23,0))*Inputs!$B$7*Inputs!$B$6^(D194-1)/Inputs!$B$12,0))</f>
        <v>47</v>
      </c>
      <c r="M194" s="2"/>
      <c r="N194" s="2"/>
      <c r="O194" s="2" t="s">
        <v>427</v>
      </c>
      <c r="P194" s="3"/>
      <c r="Q194" s="2" t="s">
        <v>428</v>
      </c>
      <c r="R194" s="2" t="n">
        <v>0.25</v>
      </c>
      <c r="S194" s="2" t="s">
        <v>268</v>
      </c>
    </row>
    <row r="195" customFormat="false" ht="23.85" hidden="false" customHeight="false" outlineLevel="0" collapsed="false">
      <c r="A195" s="2" t="s">
        <v>424</v>
      </c>
      <c r="B195" s="2" t="n">
        <v>2</v>
      </c>
      <c r="C195" s="2" t="s">
        <v>94</v>
      </c>
      <c r="D195" s="2" t="n">
        <v>4</v>
      </c>
      <c r="E195" s="2" t="s">
        <v>103</v>
      </c>
      <c r="F195" s="2" t="s">
        <v>22</v>
      </c>
      <c r="G195" s="2" t="s">
        <v>234</v>
      </c>
      <c r="H195" s="3" t="s">
        <v>430</v>
      </c>
      <c r="I195" s="2" t="s">
        <v>343</v>
      </c>
      <c r="J195" s="2" t="s">
        <v>457</v>
      </c>
      <c r="K195" s="3" t="s">
        <v>456</v>
      </c>
      <c r="L195" s="2" t="n">
        <f aca="false">MAX(1,ROUND(0.7*Inputs!$B$4*Inputs!$B$5^(B195-1)*INDEX(Inputs!$C$15:$C$23,MATCH("cracking",Inputs!$A$15:$A$23,0))*Inputs!$B$7*Inputs!$B$6^(D195-1)/Inputs!$B$12,0))</f>
        <v>54</v>
      </c>
      <c r="M195" s="2"/>
      <c r="N195" s="2"/>
      <c r="O195" s="2" t="s">
        <v>427</v>
      </c>
      <c r="P195" s="3"/>
      <c r="Q195" s="2" t="s">
        <v>432</v>
      </c>
      <c r="R195" s="2" t="n">
        <v>0.016667</v>
      </c>
      <c r="S195" s="2" t="s">
        <v>435</v>
      </c>
    </row>
    <row r="196" customFormat="false" ht="15" hidden="false" customHeight="false" outlineLevel="0" collapsed="false">
      <c r="A196" s="2" t="s">
        <v>424</v>
      </c>
      <c r="B196" s="2" t="n">
        <v>2</v>
      </c>
      <c r="C196" s="2" t="s">
        <v>94</v>
      </c>
      <c r="D196" s="2" t="n">
        <v>5</v>
      </c>
      <c r="E196" s="2" t="s">
        <v>105</v>
      </c>
      <c r="F196" s="2" t="s">
        <v>22</v>
      </c>
      <c r="G196" s="2" t="s">
        <v>234</v>
      </c>
      <c r="H196" s="3" t="s">
        <v>434</v>
      </c>
      <c r="I196" s="2" t="s">
        <v>343</v>
      </c>
      <c r="J196" s="2" t="s">
        <v>458</v>
      </c>
      <c r="K196" s="3" t="s">
        <v>456</v>
      </c>
      <c r="L196" s="2" t="n">
        <f aca="false">MAX(1,ROUND(0.7*Inputs!$B$4*Inputs!$B$5^(B196-1)*INDEX(Inputs!$C$15:$C$23,MATCH("cracking",Inputs!$A$15:$A$23,0))*Inputs!$B$7*Inputs!$B$6^(D196-1)/Inputs!$B$12,0))</f>
        <v>62</v>
      </c>
      <c r="M196" s="2"/>
      <c r="N196" s="2"/>
      <c r="O196" s="2" t="s">
        <v>427</v>
      </c>
      <c r="P196" s="3"/>
      <c r="Q196" s="2" t="s">
        <v>432</v>
      </c>
      <c r="R196" s="2" t="n">
        <v>0.016667</v>
      </c>
      <c r="S196" s="2" t="s">
        <v>457</v>
      </c>
    </row>
    <row r="197" customFormat="false" ht="35.05" hidden="false" customHeight="false" outlineLevel="0" collapsed="false">
      <c r="A197" s="2" t="s">
        <v>424</v>
      </c>
      <c r="B197" s="2" t="n">
        <v>2</v>
      </c>
      <c r="C197" s="2" t="s">
        <v>94</v>
      </c>
      <c r="D197" s="2" t="n">
        <v>6</v>
      </c>
      <c r="E197" s="2" t="s">
        <v>107</v>
      </c>
      <c r="F197" s="2" t="s">
        <v>22</v>
      </c>
      <c r="G197" s="2" t="s">
        <v>436</v>
      </c>
      <c r="H197" s="3" t="s">
        <v>437</v>
      </c>
      <c r="I197" s="2" t="s">
        <v>343</v>
      </c>
      <c r="J197" s="2" t="s">
        <v>459</v>
      </c>
      <c r="K197" s="3" t="s">
        <v>456</v>
      </c>
      <c r="L197" s="2" t="n">
        <f aca="false">MAX(1,ROUND(0.7*Inputs!$B$4*Inputs!$B$5^(B197-1)*INDEX(Inputs!$C$15:$C$23,MATCH("cracking",Inputs!$A$15:$A$23,0))*Inputs!$B$7*Inputs!$B$6^(D197-1)/Inputs!$B$12,0))</f>
        <v>72</v>
      </c>
      <c r="M197" s="2"/>
      <c r="N197" s="2"/>
      <c r="O197" s="2" t="s">
        <v>427</v>
      </c>
      <c r="P197" s="3"/>
      <c r="Q197" s="2" t="s">
        <v>439</v>
      </c>
      <c r="R197" s="2" t="n">
        <v>0.016667</v>
      </c>
      <c r="S197" s="2" t="s">
        <v>442</v>
      </c>
    </row>
    <row r="198" customFormat="false" ht="15" hidden="false" customHeight="false" outlineLevel="0" collapsed="false">
      <c r="A198" s="2" t="s">
        <v>424</v>
      </c>
      <c r="B198" s="2" t="n">
        <v>2</v>
      </c>
      <c r="C198" s="2" t="s">
        <v>94</v>
      </c>
      <c r="D198" s="2" t="n">
        <v>7</v>
      </c>
      <c r="E198" s="2" t="s">
        <v>109</v>
      </c>
      <c r="F198" s="2" t="s">
        <v>22</v>
      </c>
      <c r="G198" s="2" t="s">
        <v>436</v>
      </c>
      <c r="H198" s="3" t="s">
        <v>441</v>
      </c>
      <c r="I198" s="2" t="s">
        <v>343</v>
      </c>
      <c r="J198" s="2" t="s">
        <v>460</v>
      </c>
      <c r="K198" s="3" t="s">
        <v>456</v>
      </c>
      <c r="L198" s="2" t="n">
        <f aca="false">MAX(1,ROUND(0.7*Inputs!$B$4*Inputs!$B$5^(B198-1)*INDEX(Inputs!$C$15:$C$23,MATCH("cracking",Inputs!$A$15:$A$23,0))*Inputs!$B$7*Inputs!$B$6^(D198-1)/Inputs!$B$12,0))</f>
        <v>82</v>
      </c>
      <c r="M198" s="2"/>
      <c r="N198" s="2"/>
      <c r="O198" s="2" t="s">
        <v>427</v>
      </c>
      <c r="P198" s="3"/>
      <c r="Q198" s="2" t="s">
        <v>439</v>
      </c>
      <c r="R198" s="2" t="n">
        <v>0.016667</v>
      </c>
      <c r="S198" s="2" t="s">
        <v>459</v>
      </c>
    </row>
    <row r="199" customFormat="false" ht="15" hidden="false" customHeight="false" outlineLevel="0" collapsed="false">
      <c r="A199" s="4" t="s">
        <v>424</v>
      </c>
      <c r="B199" s="4" t="n">
        <v>2</v>
      </c>
      <c r="C199" s="4" t="s">
        <v>94</v>
      </c>
      <c r="D199" s="4" t="n">
        <v>8</v>
      </c>
      <c r="E199" s="4" t="s">
        <v>111</v>
      </c>
      <c r="F199" s="4" t="s">
        <v>72</v>
      </c>
      <c r="G199" s="4" t="s">
        <v>443</v>
      </c>
      <c r="H199" s="5" t="s">
        <v>444</v>
      </c>
      <c r="I199" s="4" t="s">
        <v>445</v>
      </c>
      <c r="J199" s="4" t="s">
        <v>461</v>
      </c>
      <c r="K199" s="5" t="s">
        <v>456</v>
      </c>
      <c r="L199" s="4" t="n">
        <f aca="false">MAX(1,ROUND(0.7*Inputs!$B$4*Inputs!$B$5^(B199-1)*INDEX(Inputs!$C$15:$C$23,MATCH("cracking",Inputs!$A$15:$A$23,0))*Inputs!$B$7*Inputs!$B$6^(D199-1)/Inputs!$B$12,0))</f>
        <v>95</v>
      </c>
      <c r="M199" s="4"/>
      <c r="N199" s="4"/>
      <c r="O199" s="4" t="s">
        <v>427</v>
      </c>
      <c r="P199" s="5"/>
      <c r="Q199" s="4" t="s">
        <v>447</v>
      </c>
      <c r="R199" s="4" t="n">
        <v>0.08</v>
      </c>
      <c r="S199" s="4" t="s">
        <v>446</v>
      </c>
    </row>
    <row r="200" customFormat="false" ht="15" hidden="false" customHeight="false" outlineLevel="0" collapsed="false">
      <c r="A200" s="4" t="s">
        <v>424</v>
      </c>
      <c r="B200" s="4" t="n">
        <v>2</v>
      </c>
      <c r="C200" s="4" t="s">
        <v>94</v>
      </c>
      <c r="D200" s="4" t="n">
        <v>9</v>
      </c>
      <c r="E200" s="4" t="s">
        <v>113</v>
      </c>
      <c r="F200" s="4" t="s">
        <v>72</v>
      </c>
      <c r="G200" s="4" t="s">
        <v>449</v>
      </c>
      <c r="H200" s="5" t="s">
        <v>450</v>
      </c>
      <c r="I200" s="4" t="s">
        <v>363</v>
      </c>
      <c r="J200" s="4" t="s">
        <v>462</v>
      </c>
      <c r="K200" s="5" t="s">
        <v>456</v>
      </c>
      <c r="L200" s="4" t="n">
        <f aca="false">MAX(1,ROUND(0.7*Inputs!$B$4*Inputs!$B$5^(B200-1)*INDEX(Inputs!$C$15:$C$23,MATCH("cracking",Inputs!$A$15:$A$23,0))*Inputs!$B$7*Inputs!$B$6^(D200-1)/Inputs!$B$12,0))</f>
        <v>109</v>
      </c>
      <c r="M200" s="4"/>
      <c r="N200" s="4"/>
      <c r="O200" s="4" t="s">
        <v>427</v>
      </c>
      <c r="P200" s="5"/>
      <c r="Q200" s="4" t="s">
        <v>452</v>
      </c>
      <c r="R200" s="4" t="n">
        <v>0.1</v>
      </c>
      <c r="S200" s="4" t="s">
        <v>451</v>
      </c>
    </row>
    <row r="201" customFormat="false" ht="15" hidden="false" customHeight="false" outlineLevel="0" collapsed="false">
      <c r="A201" s="6" t="s">
        <v>424</v>
      </c>
      <c r="B201" s="6" t="n">
        <v>2</v>
      </c>
      <c r="C201" s="6" t="s">
        <v>94</v>
      </c>
      <c r="D201" s="6" t="n">
        <v>10</v>
      </c>
      <c r="E201" s="6" t="s">
        <v>115</v>
      </c>
      <c r="F201" s="6" t="s">
        <v>87</v>
      </c>
      <c r="G201" s="6" t="s">
        <v>463</v>
      </c>
      <c r="H201" s="7" t="s">
        <v>464</v>
      </c>
      <c r="I201" s="6" t="s">
        <v>90</v>
      </c>
      <c r="J201" s="6"/>
      <c r="K201" s="7" t="s">
        <v>456</v>
      </c>
      <c r="L201" s="6" t="n">
        <f aca="false">MAX(1,ROUND(0.7*Inputs!$B$4*Inputs!$B$5^(B201-1)*INDEX(Inputs!$C$15:$C$23,MATCH("cracking",Inputs!$A$15:$A$23,0))*Inputs!$B$7*Inputs!$B$6^(D201-1)/Inputs!$B$12,0))</f>
        <v>125</v>
      </c>
      <c r="M201" s="6" t="s">
        <v>465</v>
      </c>
      <c r="N201" s="6" t="n">
        <v>1</v>
      </c>
      <c r="O201" s="6" t="s">
        <v>427</v>
      </c>
      <c r="P201" s="7"/>
      <c r="Q201" s="6" t="s">
        <v>466</v>
      </c>
      <c r="R201" s="8" t="b">
        <f aca="false">TRUE()</f>
        <v>1</v>
      </c>
      <c r="S201" s="6" t="s">
        <v>93</v>
      </c>
    </row>
    <row r="202" customFormat="false" ht="23.85" hidden="false" customHeight="false" outlineLevel="0" collapsed="false">
      <c r="A202" s="2" t="s">
        <v>424</v>
      </c>
      <c r="B202" s="2" t="n">
        <v>3</v>
      </c>
      <c r="C202" s="2" t="s">
        <v>120</v>
      </c>
      <c r="D202" s="2" t="n">
        <v>1</v>
      </c>
      <c r="E202" s="2" t="s">
        <v>121</v>
      </c>
      <c r="F202" s="2" t="s">
        <v>22</v>
      </c>
      <c r="G202" s="2" t="s">
        <v>225</v>
      </c>
      <c r="H202" s="3" t="s">
        <v>425</v>
      </c>
      <c r="I202" s="2" t="s">
        <v>280</v>
      </c>
      <c r="J202" s="2" t="s">
        <v>281</v>
      </c>
      <c r="K202" s="3" t="s">
        <v>467</v>
      </c>
      <c r="L202" s="2" t="n">
        <f aca="false">MAX(1,ROUND(0.85*Inputs!$B$4*Inputs!$B$5^(B202-1)*INDEX(Inputs!$C$15:$C$23,MATCH("cracking",Inputs!$A$15:$A$23,0))*Inputs!$B$7*Inputs!$B$6^(D202-1)/Inputs!$B$12,0))</f>
        <v>47</v>
      </c>
      <c r="M202" s="2"/>
      <c r="N202" s="2"/>
      <c r="O202" s="2" t="s">
        <v>427</v>
      </c>
      <c r="P202" s="3"/>
      <c r="Q202" s="2" t="s">
        <v>428</v>
      </c>
      <c r="R202" s="2" t="n">
        <v>0.375</v>
      </c>
      <c r="S202" s="2" t="s">
        <v>269</v>
      </c>
    </row>
    <row r="203" customFormat="false" ht="15" hidden="false" customHeight="false" outlineLevel="0" collapsed="false">
      <c r="A203" s="2" t="s">
        <v>424</v>
      </c>
      <c r="B203" s="2" t="n">
        <v>3</v>
      </c>
      <c r="C203" s="2" t="s">
        <v>120</v>
      </c>
      <c r="D203" s="2" t="n">
        <v>2</v>
      </c>
      <c r="E203" s="2" t="s">
        <v>125</v>
      </c>
      <c r="F203" s="2" t="s">
        <v>22</v>
      </c>
      <c r="G203" s="2" t="s">
        <v>225</v>
      </c>
      <c r="H203" s="3" t="s">
        <v>429</v>
      </c>
      <c r="I203" s="2" t="s">
        <v>280</v>
      </c>
      <c r="J203" s="2" t="s">
        <v>282</v>
      </c>
      <c r="K203" s="3" t="s">
        <v>467</v>
      </c>
      <c r="L203" s="2" t="n">
        <f aca="false">MAX(1,ROUND(0.85*Inputs!$B$4*Inputs!$B$5^(B203-1)*INDEX(Inputs!$C$15:$C$23,MATCH("cracking",Inputs!$A$15:$A$23,0))*Inputs!$B$7*Inputs!$B$6^(D203-1)/Inputs!$B$12,0))</f>
        <v>55</v>
      </c>
      <c r="M203" s="2"/>
      <c r="N203" s="2"/>
      <c r="O203" s="2" t="s">
        <v>427</v>
      </c>
      <c r="P203" s="3"/>
      <c r="Q203" s="2" t="s">
        <v>428</v>
      </c>
      <c r="R203" s="2" t="n">
        <v>0.375</v>
      </c>
      <c r="S203" s="2" t="s">
        <v>281</v>
      </c>
    </row>
    <row r="204" customFormat="false" ht="15" hidden="false" customHeight="false" outlineLevel="0" collapsed="false">
      <c r="A204" s="2" t="s">
        <v>424</v>
      </c>
      <c r="B204" s="2" t="n">
        <v>3</v>
      </c>
      <c r="C204" s="2" t="s">
        <v>120</v>
      </c>
      <c r="D204" s="2" t="n">
        <v>3</v>
      </c>
      <c r="E204" s="2" t="s">
        <v>127</v>
      </c>
      <c r="F204" s="2" t="s">
        <v>22</v>
      </c>
      <c r="G204" s="2" t="s">
        <v>225</v>
      </c>
      <c r="H204" s="3" t="s">
        <v>429</v>
      </c>
      <c r="I204" s="2" t="s">
        <v>280</v>
      </c>
      <c r="J204" s="2" t="s">
        <v>283</v>
      </c>
      <c r="K204" s="3" t="s">
        <v>467</v>
      </c>
      <c r="L204" s="2" t="n">
        <f aca="false">MAX(1,ROUND(0.85*Inputs!$B$4*Inputs!$B$5^(B204-1)*INDEX(Inputs!$C$15:$C$23,MATCH("cracking",Inputs!$A$15:$A$23,0))*Inputs!$B$7*Inputs!$B$6^(D204-1)/Inputs!$B$12,0))</f>
        <v>63</v>
      </c>
      <c r="M204" s="2"/>
      <c r="N204" s="2"/>
      <c r="O204" s="2" t="s">
        <v>427</v>
      </c>
      <c r="P204" s="3"/>
      <c r="Q204" s="2" t="s">
        <v>428</v>
      </c>
      <c r="R204" s="2" t="n">
        <v>0.375</v>
      </c>
      <c r="S204" s="2" t="s">
        <v>282</v>
      </c>
    </row>
    <row r="205" customFormat="false" ht="23.85" hidden="false" customHeight="false" outlineLevel="0" collapsed="false">
      <c r="A205" s="2" t="s">
        <v>424</v>
      </c>
      <c r="B205" s="2" t="n">
        <v>3</v>
      </c>
      <c r="C205" s="2" t="s">
        <v>120</v>
      </c>
      <c r="D205" s="2" t="n">
        <v>4</v>
      </c>
      <c r="E205" s="2" t="s">
        <v>129</v>
      </c>
      <c r="F205" s="2" t="s">
        <v>22</v>
      </c>
      <c r="G205" s="2" t="s">
        <v>234</v>
      </c>
      <c r="H205" s="3" t="s">
        <v>430</v>
      </c>
      <c r="I205" s="2" t="s">
        <v>343</v>
      </c>
      <c r="J205" s="2" t="s">
        <v>468</v>
      </c>
      <c r="K205" s="3" t="s">
        <v>467</v>
      </c>
      <c r="L205" s="2" t="n">
        <f aca="false">MAX(1,ROUND(0.85*Inputs!$B$4*Inputs!$B$5^(B205-1)*INDEX(Inputs!$C$15:$C$23,MATCH("cracking",Inputs!$A$15:$A$23,0))*Inputs!$B$7*Inputs!$B$6^(D205-1)/Inputs!$B$12,0))</f>
        <v>72</v>
      </c>
      <c r="M205" s="2"/>
      <c r="N205" s="2"/>
      <c r="O205" s="2" t="s">
        <v>427</v>
      </c>
      <c r="P205" s="3"/>
      <c r="Q205" s="2" t="s">
        <v>432</v>
      </c>
      <c r="R205" s="2" t="n">
        <v>0.016667</v>
      </c>
      <c r="S205" s="2" t="s">
        <v>458</v>
      </c>
    </row>
    <row r="206" customFormat="false" ht="15" hidden="false" customHeight="false" outlineLevel="0" collapsed="false">
      <c r="A206" s="2" t="s">
        <v>424</v>
      </c>
      <c r="B206" s="2" t="n">
        <v>3</v>
      </c>
      <c r="C206" s="2" t="s">
        <v>120</v>
      </c>
      <c r="D206" s="2" t="n">
        <v>5</v>
      </c>
      <c r="E206" s="2" t="s">
        <v>131</v>
      </c>
      <c r="F206" s="2" t="s">
        <v>22</v>
      </c>
      <c r="G206" s="2" t="s">
        <v>234</v>
      </c>
      <c r="H206" s="3" t="s">
        <v>434</v>
      </c>
      <c r="I206" s="2" t="s">
        <v>343</v>
      </c>
      <c r="J206" s="2" t="s">
        <v>469</v>
      </c>
      <c r="K206" s="3" t="s">
        <v>467</v>
      </c>
      <c r="L206" s="2" t="n">
        <f aca="false">MAX(1,ROUND(0.85*Inputs!$B$4*Inputs!$B$5^(B206-1)*INDEX(Inputs!$C$15:$C$23,MATCH("cracking",Inputs!$A$15:$A$23,0))*Inputs!$B$7*Inputs!$B$6^(D206-1)/Inputs!$B$12,0))</f>
        <v>83</v>
      </c>
      <c r="M206" s="2"/>
      <c r="N206" s="2"/>
      <c r="O206" s="2" t="s">
        <v>427</v>
      </c>
      <c r="P206" s="3"/>
      <c r="Q206" s="2" t="s">
        <v>432</v>
      </c>
      <c r="R206" s="2" t="n">
        <v>0.016667</v>
      </c>
      <c r="S206" s="2" t="s">
        <v>468</v>
      </c>
    </row>
    <row r="207" customFormat="false" ht="35.05" hidden="false" customHeight="false" outlineLevel="0" collapsed="false">
      <c r="A207" s="2" t="s">
        <v>424</v>
      </c>
      <c r="B207" s="2" t="n">
        <v>3</v>
      </c>
      <c r="C207" s="2" t="s">
        <v>120</v>
      </c>
      <c r="D207" s="2" t="n">
        <v>6</v>
      </c>
      <c r="E207" s="2" t="s">
        <v>133</v>
      </c>
      <c r="F207" s="2" t="s">
        <v>22</v>
      </c>
      <c r="G207" s="2" t="s">
        <v>436</v>
      </c>
      <c r="H207" s="3" t="s">
        <v>437</v>
      </c>
      <c r="I207" s="2" t="s">
        <v>343</v>
      </c>
      <c r="J207" s="2" t="s">
        <v>470</v>
      </c>
      <c r="K207" s="3" t="s">
        <v>467</v>
      </c>
      <c r="L207" s="2" t="n">
        <f aca="false">MAX(1,ROUND(0.85*Inputs!$B$4*Inputs!$B$5^(B207-1)*INDEX(Inputs!$C$15:$C$23,MATCH("cracking",Inputs!$A$15:$A$23,0))*Inputs!$B$7*Inputs!$B$6^(D207-1)/Inputs!$B$12,0))</f>
        <v>96</v>
      </c>
      <c r="M207" s="2"/>
      <c r="N207" s="2"/>
      <c r="O207" s="2" t="s">
        <v>427</v>
      </c>
      <c r="P207" s="3"/>
      <c r="Q207" s="2" t="s">
        <v>439</v>
      </c>
      <c r="R207" s="2" t="n">
        <v>0.016667</v>
      </c>
      <c r="S207" s="2" t="s">
        <v>460</v>
      </c>
    </row>
    <row r="208" customFormat="false" ht="15" hidden="false" customHeight="false" outlineLevel="0" collapsed="false">
      <c r="A208" s="2" t="s">
        <v>424</v>
      </c>
      <c r="B208" s="2" t="n">
        <v>3</v>
      </c>
      <c r="C208" s="2" t="s">
        <v>120</v>
      </c>
      <c r="D208" s="2" t="n">
        <v>7</v>
      </c>
      <c r="E208" s="2" t="s">
        <v>135</v>
      </c>
      <c r="F208" s="2" t="s">
        <v>22</v>
      </c>
      <c r="G208" s="2" t="s">
        <v>436</v>
      </c>
      <c r="H208" s="3" t="s">
        <v>441</v>
      </c>
      <c r="I208" s="2" t="s">
        <v>343</v>
      </c>
      <c r="J208" s="2" t="s">
        <v>471</v>
      </c>
      <c r="K208" s="3" t="s">
        <v>467</v>
      </c>
      <c r="L208" s="2" t="n">
        <f aca="false">MAX(1,ROUND(0.85*Inputs!$B$4*Inputs!$B$5^(B208-1)*INDEX(Inputs!$C$15:$C$23,MATCH("cracking",Inputs!$A$15:$A$23,0))*Inputs!$B$7*Inputs!$B$6^(D208-1)/Inputs!$B$12,0))</f>
        <v>110</v>
      </c>
      <c r="M208" s="2"/>
      <c r="N208" s="2"/>
      <c r="O208" s="2" t="s">
        <v>427</v>
      </c>
      <c r="P208" s="3"/>
      <c r="Q208" s="2" t="s">
        <v>439</v>
      </c>
      <c r="R208" s="2" t="n">
        <v>0.016667</v>
      </c>
      <c r="S208" s="2" t="s">
        <v>470</v>
      </c>
    </row>
    <row r="209" customFormat="false" ht="15" hidden="false" customHeight="false" outlineLevel="0" collapsed="false">
      <c r="A209" s="4" t="s">
        <v>424</v>
      </c>
      <c r="B209" s="4" t="n">
        <v>3</v>
      </c>
      <c r="C209" s="4" t="s">
        <v>120</v>
      </c>
      <c r="D209" s="4" t="n">
        <v>8</v>
      </c>
      <c r="E209" s="4" t="s">
        <v>137</v>
      </c>
      <c r="F209" s="4" t="s">
        <v>72</v>
      </c>
      <c r="G209" s="4" t="s">
        <v>443</v>
      </c>
      <c r="H209" s="5" t="s">
        <v>444</v>
      </c>
      <c r="I209" s="4" t="s">
        <v>445</v>
      </c>
      <c r="J209" s="4" t="s">
        <v>472</v>
      </c>
      <c r="K209" s="5" t="s">
        <v>467</v>
      </c>
      <c r="L209" s="4" t="n">
        <f aca="false">MAX(1,ROUND(0.85*Inputs!$B$4*Inputs!$B$5^(B209-1)*INDEX(Inputs!$C$15:$C$23,MATCH("cracking",Inputs!$A$15:$A$23,0))*Inputs!$B$7*Inputs!$B$6^(D209-1)/Inputs!$B$12,0))</f>
        <v>126</v>
      </c>
      <c r="M209" s="4"/>
      <c r="N209" s="4"/>
      <c r="O209" s="4" t="s">
        <v>427</v>
      </c>
      <c r="P209" s="5"/>
      <c r="Q209" s="4" t="s">
        <v>447</v>
      </c>
      <c r="R209" s="4" t="n">
        <v>0.08</v>
      </c>
      <c r="S209" s="4" t="s">
        <v>461</v>
      </c>
    </row>
    <row r="210" customFormat="false" ht="15" hidden="false" customHeight="false" outlineLevel="0" collapsed="false">
      <c r="A210" s="4" t="s">
        <v>424</v>
      </c>
      <c r="B210" s="4" t="n">
        <v>3</v>
      </c>
      <c r="C210" s="4" t="s">
        <v>120</v>
      </c>
      <c r="D210" s="4" t="n">
        <v>9</v>
      </c>
      <c r="E210" s="4" t="s">
        <v>139</v>
      </c>
      <c r="F210" s="4" t="s">
        <v>72</v>
      </c>
      <c r="G210" s="4" t="s">
        <v>449</v>
      </c>
      <c r="H210" s="5" t="s">
        <v>450</v>
      </c>
      <c r="I210" s="4" t="s">
        <v>363</v>
      </c>
      <c r="J210" s="4" t="s">
        <v>473</v>
      </c>
      <c r="K210" s="5" t="s">
        <v>467</v>
      </c>
      <c r="L210" s="4" t="n">
        <f aca="false">MAX(1,ROUND(0.85*Inputs!$B$4*Inputs!$B$5^(B210-1)*INDEX(Inputs!$C$15:$C$23,MATCH("cracking",Inputs!$A$15:$A$23,0))*Inputs!$B$7*Inputs!$B$6^(D210-1)/Inputs!$B$12,0))</f>
        <v>145</v>
      </c>
      <c r="M210" s="4"/>
      <c r="N210" s="4"/>
      <c r="O210" s="4" t="s">
        <v>427</v>
      </c>
      <c r="P210" s="5"/>
      <c r="Q210" s="4" t="s">
        <v>452</v>
      </c>
      <c r="R210" s="4" t="n">
        <v>0.1</v>
      </c>
      <c r="S210" s="4" t="s">
        <v>462</v>
      </c>
    </row>
    <row r="211" customFormat="false" ht="35.05" hidden="false" customHeight="false" outlineLevel="0" collapsed="false">
      <c r="A211" s="6" t="s">
        <v>424</v>
      </c>
      <c r="B211" s="6" t="n">
        <v>3</v>
      </c>
      <c r="C211" s="6" t="s">
        <v>120</v>
      </c>
      <c r="D211" s="6" t="n">
        <v>10</v>
      </c>
      <c r="E211" s="6" t="s">
        <v>141</v>
      </c>
      <c r="F211" s="6" t="s">
        <v>87</v>
      </c>
      <c r="G211" s="6" t="s">
        <v>474</v>
      </c>
      <c r="H211" s="7" t="s">
        <v>475</v>
      </c>
      <c r="I211" s="6" t="s">
        <v>90</v>
      </c>
      <c r="J211" s="6"/>
      <c r="K211" s="7" t="s">
        <v>467</v>
      </c>
      <c r="L211" s="6" t="n">
        <f aca="false">MAX(1,ROUND(0.85*Inputs!$B$4*Inputs!$B$5^(B211-1)*INDEX(Inputs!$C$15:$C$23,MATCH("cracking",Inputs!$A$15:$A$23,0))*Inputs!$B$7*Inputs!$B$6^(D211-1)/Inputs!$B$12,0))</f>
        <v>167</v>
      </c>
      <c r="M211" s="6" t="s">
        <v>476</v>
      </c>
      <c r="N211" s="6" t="n">
        <v>2</v>
      </c>
      <c r="O211" s="6" t="s">
        <v>427</v>
      </c>
      <c r="P211" s="7"/>
      <c r="Q211" s="6" t="s">
        <v>477</v>
      </c>
      <c r="R211" s="8" t="b">
        <f aca="false">TRUE()</f>
        <v>1</v>
      </c>
      <c r="S211" s="6" t="s">
        <v>93</v>
      </c>
    </row>
    <row r="212" customFormat="false" ht="23.85" hidden="false" customHeight="false" outlineLevel="0" collapsed="false">
      <c r="A212" s="2" t="s">
        <v>424</v>
      </c>
      <c r="B212" s="2" t="n">
        <v>4</v>
      </c>
      <c r="C212" s="2" t="s">
        <v>146</v>
      </c>
      <c r="D212" s="2" t="n">
        <v>1</v>
      </c>
      <c r="E212" s="2" t="s">
        <v>147</v>
      </c>
      <c r="F212" s="2" t="s">
        <v>22</v>
      </c>
      <c r="G212" s="2" t="s">
        <v>225</v>
      </c>
      <c r="H212" s="3" t="s">
        <v>425</v>
      </c>
      <c r="I212" s="2" t="s">
        <v>294</v>
      </c>
      <c r="J212" s="2" t="s">
        <v>295</v>
      </c>
      <c r="K212" s="3" t="s">
        <v>478</v>
      </c>
      <c r="L212" s="2" t="n">
        <f aca="false">MAX(1,ROUND(0.75*Inputs!$B$4*Inputs!$B$5^(B212-1)*INDEX(Inputs!$C$15:$C$23,MATCH("cracking",Inputs!$A$15:$A$23,0))*Inputs!$B$7*Inputs!$B$6^(D212-1)/Inputs!$B$12,0))</f>
        <v>46</v>
      </c>
      <c r="M212" s="2"/>
      <c r="N212" s="2"/>
      <c r="O212" s="2" t="s">
        <v>427</v>
      </c>
      <c r="P212" s="3"/>
      <c r="Q212" s="2" t="s">
        <v>428</v>
      </c>
      <c r="R212" s="2" t="n">
        <v>0.5625</v>
      </c>
      <c r="S212" s="2" t="s">
        <v>283</v>
      </c>
    </row>
    <row r="213" customFormat="false" ht="15" hidden="false" customHeight="false" outlineLevel="0" collapsed="false">
      <c r="A213" s="2" t="s">
        <v>424</v>
      </c>
      <c r="B213" s="2" t="n">
        <v>4</v>
      </c>
      <c r="C213" s="2" t="s">
        <v>146</v>
      </c>
      <c r="D213" s="2" t="n">
        <v>2</v>
      </c>
      <c r="E213" s="2" t="s">
        <v>151</v>
      </c>
      <c r="F213" s="2" t="s">
        <v>22</v>
      </c>
      <c r="G213" s="2" t="s">
        <v>225</v>
      </c>
      <c r="H213" s="3" t="s">
        <v>429</v>
      </c>
      <c r="I213" s="2" t="s">
        <v>294</v>
      </c>
      <c r="J213" s="2" t="s">
        <v>296</v>
      </c>
      <c r="K213" s="3" t="s">
        <v>478</v>
      </c>
      <c r="L213" s="2" t="n">
        <f aca="false">MAX(1,ROUND(0.75*Inputs!$B$4*Inputs!$B$5^(B213-1)*INDEX(Inputs!$C$15:$C$23,MATCH("cracking",Inputs!$A$15:$A$23,0))*Inputs!$B$7*Inputs!$B$6^(D213-1)/Inputs!$B$12,0))</f>
        <v>53</v>
      </c>
      <c r="M213" s="2"/>
      <c r="N213" s="2"/>
      <c r="O213" s="2" t="s">
        <v>427</v>
      </c>
      <c r="P213" s="3"/>
      <c r="Q213" s="2" t="s">
        <v>428</v>
      </c>
      <c r="R213" s="2" t="n">
        <v>0.5625</v>
      </c>
      <c r="S213" s="2" t="s">
        <v>295</v>
      </c>
    </row>
    <row r="214" customFormat="false" ht="15" hidden="false" customHeight="false" outlineLevel="0" collapsed="false">
      <c r="A214" s="2" t="s">
        <v>424</v>
      </c>
      <c r="B214" s="2" t="n">
        <v>4</v>
      </c>
      <c r="C214" s="2" t="s">
        <v>146</v>
      </c>
      <c r="D214" s="2" t="n">
        <v>3</v>
      </c>
      <c r="E214" s="2" t="s">
        <v>153</v>
      </c>
      <c r="F214" s="2" t="s">
        <v>22</v>
      </c>
      <c r="G214" s="2" t="s">
        <v>225</v>
      </c>
      <c r="H214" s="3" t="s">
        <v>429</v>
      </c>
      <c r="I214" s="2" t="s">
        <v>294</v>
      </c>
      <c r="J214" s="2" t="s">
        <v>297</v>
      </c>
      <c r="K214" s="3" t="s">
        <v>478</v>
      </c>
      <c r="L214" s="2" t="n">
        <f aca="false">MAX(1,ROUND(0.75*Inputs!$B$4*Inputs!$B$5^(B214-1)*INDEX(Inputs!$C$15:$C$23,MATCH("cracking",Inputs!$A$15:$A$23,0))*Inputs!$B$7*Inputs!$B$6^(D214-1)/Inputs!$B$12,0))</f>
        <v>61</v>
      </c>
      <c r="M214" s="2"/>
      <c r="N214" s="2"/>
      <c r="O214" s="2" t="s">
        <v>427</v>
      </c>
      <c r="P214" s="3"/>
      <c r="Q214" s="2" t="s">
        <v>428</v>
      </c>
      <c r="R214" s="2" t="n">
        <v>0.5625</v>
      </c>
      <c r="S214" s="2" t="s">
        <v>296</v>
      </c>
    </row>
    <row r="215" customFormat="false" ht="23.85" hidden="false" customHeight="false" outlineLevel="0" collapsed="false">
      <c r="A215" s="2" t="s">
        <v>424</v>
      </c>
      <c r="B215" s="2" t="n">
        <v>4</v>
      </c>
      <c r="C215" s="2" t="s">
        <v>146</v>
      </c>
      <c r="D215" s="2" t="n">
        <v>4</v>
      </c>
      <c r="E215" s="2" t="s">
        <v>155</v>
      </c>
      <c r="F215" s="2" t="s">
        <v>22</v>
      </c>
      <c r="G215" s="2" t="s">
        <v>234</v>
      </c>
      <c r="H215" s="3" t="s">
        <v>430</v>
      </c>
      <c r="I215" s="2" t="s">
        <v>343</v>
      </c>
      <c r="J215" s="2" t="s">
        <v>479</v>
      </c>
      <c r="K215" s="3" t="s">
        <v>478</v>
      </c>
      <c r="L215" s="2" t="n">
        <f aca="false">MAX(1,ROUND(0.75*Inputs!$B$4*Inputs!$B$5^(B215-1)*INDEX(Inputs!$C$15:$C$23,MATCH("cracking",Inputs!$A$15:$A$23,0))*Inputs!$B$7*Inputs!$B$6^(D215-1)/Inputs!$B$12,0))</f>
        <v>70</v>
      </c>
      <c r="M215" s="2"/>
      <c r="N215" s="2"/>
      <c r="O215" s="2" t="s">
        <v>427</v>
      </c>
      <c r="P215" s="3"/>
      <c r="Q215" s="2" t="s">
        <v>432</v>
      </c>
      <c r="R215" s="2" t="n">
        <v>0.016667</v>
      </c>
      <c r="S215" s="2" t="s">
        <v>469</v>
      </c>
    </row>
    <row r="216" customFormat="false" ht="15" hidden="false" customHeight="false" outlineLevel="0" collapsed="false">
      <c r="A216" s="2" t="s">
        <v>424</v>
      </c>
      <c r="B216" s="2" t="n">
        <v>4</v>
      </c>
      <c r="C216" s="2" t="s">
        <v>146</v>
      </c>
      <c r="D216" s="2" t="n">
        <v>5</v>
      </c>
      <c r="E216" s="2" t="s">
        <v>157</v>
      </c>
      <c r="F216" s="2" t="s">
        <v>22</v>
      </c>
      <c r="G216" s="2" t="s">
        <v>234</v>
      </c>
      <c r="H216" s="3" t="s">
        <v>434</v>
      </c>
      <c r="I216" s="2" t="s">
        <v>343</v>
      </c>
      <c r="J216" s="2" t="s">
        <v>480</v>
      </c>
      <c r="K216" s="3" t="s">
        <v>478</v>
      </c>
      <c r="L216" s="2" t="n">
        <f aca="false">MAX(1,ROUND(0.75*Inputs!$B$4*Inputs!$B$5^(B216-1)*INDEX(Inputs!$C$15:$C$23,MATCH("cracking",Inputs!$A$15:$A$23,0))*Inputs!$B$7*Inputs!$B$6^(D216-1)/Inputs!$B$12,0))</f>
        <v>81</v>
      </c>
      <c r="M216" s="2"/>
      <c r="N216" s="2"/>
      <c r="O216" s="2" t="s">
        <v>427</v>
      </c>
      <c r="P216" s="3"/>
      <c r="Q216" s="2" t="s">
        <v>432</v>
      </c>
      <c r="R216" s="2" t="n">
        <v>0.016667</v>
      </c>
      <c r="S216" s="2" t="s">
        <v>479</v>
      </c>
    </row>
    <row r="217" customFormat="false" ht="35.05" hidden="false" customHeight="false" outlineLevel="0" collapsed="false">
      <c r="A217" s="2" t="s">
        <v>424</v>
      </c>
      <c r="B217" s="2" t="n">
        <v>4</v>
      </c>
      <c r="C217" s="2" t="s">
        <v>146</v>
      </c>
      <c r="D217" s="2" t="n">
        <v>6</v>
      </c>
      <c r="E217" s="2" t="s">
        <v>159</v>
      </c>
      <c r="F217" s="2" t="s">
        <v>22</v>
      </c>
      <c r="G217" s="2" t="s">
        <v>436</v>
      </c>
      <c r="H217" s="3" t="s">
        <v>437</v>
      </c>
      <c r="I217" s="2" t="s">
        <v>343</v>
      </c>
      <c r="J217" s="2" t="s">
        <v>481</v>
      </c>
      <c r="K217" s="3" t="s">
        <v>478</v>
      </c>
      <c r="L217" s="2" t="n">
        <f aca="false">MAX(1,ROUND(0.75*Inputs!$B$4*Inputs!$B$5^(B217-1)*INDEX(Inputs!$C$15:$C$23,MATCH("cracking",Inputs!$A$15:$A$23,0))*Inputs!$B$7*Inputs!$B$6^(D217-1)/Inputs!$B$12,0))</f>
        <v>93</v>
      </c>
      <c r="M217" s="2"/>
      <c r="N217" s="2"/>
      <c r="O217" s="2" t="s">
        <v>427</v>
      </c>
      <c r="P217" s="3"/>
      <c r="Q217" s="2" t="s">
        <v>439</v>
      </c>
      <c r="R217" s="2" t="n">
        <v>0.016667</v>
      </c>
      <c r="S217" s="2" t="s">
        <v>471</v>
      </c>
    </row>
    <row r="218" customFormat="false" ht="15" hidden="false" customHeight="false" outlineLevel="0" collapsed="false">
      <c r="A218" s="2" t="s">
        <v>424</v>
      </c>
      <c r="B218" s="2" t="n">
        <v>4</v>
      </c>
      <c r="C218" s="2" t="s">
        <v>146</v>
      </c>
      <c r="D218" s="2" t="n">
        <v>7</v>
      </c>
      <c r="E218" s="2" t="s">
        <v>161</v>
      </c>
      <c r="F218" s="2" t="s">
        <v>22</v>
      </c>
      <c r="G218" s="2" t="s">
        <v>436</v>
      </c>
      <c r="H218" s="3" t="s">
        <v>441</v>
      </c>
      <c r="I218" s="2" t="s">
        <v>343</v>
      </c>
      <c r="J218" s="2" t="s">
        <v>482</v>
      </c>
      <c r="K218" s="3" t="s">
        <v>478</v>
      </c>
      <c r="L218" s="2" t="n">
        <f aca="false">MAX(1,ROUND(0.75*Inputs!$B$4*Inputs!$B$5^(B218-1)*INDEX(Inputs!$C$15:$C$23,MATCH("cracking",Inputs!$A$15:$A$23,0))*Inputs!$B$7*Inputs!$B$6^(D218-1)/Inputs!$B$12,0))</f>
        <v>107</v>
      </c>
      <c r="M218" s="2"/>
      <c r="N218" s="2"/>
      <c r="O218" s="2" t="s">
        <v>427</v>
      </c>
      <c r="P218" s="3"/>
      <c r="Q218" s="2" t="s">
        <v>439</v>
      </c>
      <c r="R218" s="2" t="n">
        <v>0.016667</v>
      </c>
      <c r="S218" s="2" t="s">
        <v>481</v>
      </c>
    </row>
    <row r="219" customFormat="false" ht="15" hidden="false" customHeight="false" outlineLevel="0" collapsed="false">
      <c r="A219" s="4" t="s">
        <v>424</v>
      </c>
      <c r="B219" s="4" t="n">
        <v>4</v>
      </c>
      <c r="C219" s="4" t="s">
        <v>146</v>
      </c>
      <c r="D219" s="4" t="n">
        <v>8</v>
      </c>
      <c r="E219" s="4" t="s">
        <v>163</v>
      </c>
      <c r="F219" s="4" t="s">
        <v>72</v>
      </c>
      <c r="G219" s="4" t="s">
        <v>443</v>
      </c>
      <c r="H219" s="5" t="s">
        <v>444</v>
      </c>
      <c r="I219" s="4" t="s">
        <v>445</v>
      </c>
      <c r="J219" s="4" t="s">
        <v>483</v>
      </c>
      <c r="K219" s="5" t="s">
        <v>478</v>
      </c>
      <c r="L219" s="4" t="n">
        <f aca="false">MAX(1,ROUND(0.75*Inputs!$B$4*Inputs!$B$5^(B219-1)*INDEX(Inputs!$C$15:$C$23,MATCH("cracking",Inputs!$A$15:$A$23,0))*Inputs!$B$7*Inputs!$B$6^(D219-1)/Inputs!$B$12,0))</f>
        <v>123</v>
      </c>
      <c r="M219" s="4"/>
      <c r="N219" s="4"/>
      <c r="O219" s="4" t="s">
        <v>427</v>
      </c>
      <c r="P219" s="5"/>
      <c r="Q219" s="4" t="s">
        <v>447</v>
      </c>
      <c r="R219" s="4" t="n">
        <v>0.08</v>
      </c>
      <c r="S219" s="4" t="s">
        <v>472</v>
      </c>
    </row>
    <row r="220" customFormat="false" ht="15" hidden="false" customHeight="false" outlineLevel="0" collapsed="false">
      <c r="A220" s="4" t="s">
        <v>424</v>
      </c>
      <c r="B220" s="4" t="n">
        <v>4</v>
      </c>
      <c r="C220" s="4" t="s">
        <v>146</v>
      </c>
      <c r="D220" s="4" t="n">
        <v>9</v>
      </c>
      <c r="E220" s="4" t="s">
        <v>165</v>
      </c>
      <c r="F220" s="4" t="s">
        <v>72</v>
      </c>
      <c r="G220" s="4" t="s">
        <v>449</v>
      </c>
      <c r="H220" s="5" t="s">
        <v>450</v>
      </c>
      <c r="I220" s="4" t="s">
        <v>363</v>
      </c>
      <c r="J220" s="4" t="s">
        <v>484</v>
      </c>
      <c r="K220" s="5" t="s">
        <v>478</v>
      </c>
      <c r="L220" s="4" t="n">
        <f aca="false">MAX(1,ROUND(0.75*Inputs!$B$4*Inputs!$B$5^(B220-1)*INDEX(Inputs!$C$15:$C$23,MATCH("cracking",Inputs!$A$15:$A$23,0))*Inputs!$B$7*Inputs!$B$6^(D220-1)/Inputs!$B$12,0))</f>
        <v>141</v>
      </c>
      <c r="M220" s="4"/>
      <c r="N220" s="4"/>
      <c r="O220" s="4" t="s">
        <v>427</v>
      </c>
      <c r="P220" s="5"/>
      <c r="Q220" s="4" t="s">
        <v>452</v>
      </c>
      <c r="R220" s="4" t="n">
        <v>0.1</v>
      </c>
      <c r="S220" s="4" t="s">
        <v>473</v>
      </c>
    </row>
    <row r="221" customFormat="false" ht="23.85" hidden="false" customHeight="false" outlineLevel="0" collapsed="false">
      <c r="A221" s="6" t="s">
        <v>424</v>
      </c>
      <c r="B221" s="6" t="n">
        <v>4</v>
      </c>
      <c r="C221" s="6" t="s">
        <v>146</v>
      </c>
      <c r="D221" s="6" t="n">
        <v>10</v>
      </c>
      <c r="E221" s="6" t="s">
        <v>167</v>
      </c>
      <c r="F221" s="6" t="s">
        <v>87</v>
      </c>
      <c r="G221" s="6" t="s">
        <v>485</v>
      </c>
      <c r="H221" s="7" t="s">
        <v>486</v>
      </c>
      <c r="I221" s="6" t="s">
        <v>90</v>
      </c>
      <c r="J221" s="6"/>
      <c r="K221" s="7" t="s">
        <v>478</v>
      </c>
      <c r="L221" s="6" t="n">
        <f aca="false">MAX(1,ROUND(0.75*Inputs!$B$4*Inputs!$B$5^(B221-1)*INDEX(Inputs!$C$15:$C$23,MATCH("cracking",Inputs!$A$15:$A$23,0))*Inputs!$B$7*Inputs!$B$6^(D221-1)/Inputs!$B$12,0))</f>
        <v>162</v>
      </c>
      <c r="M221" s="6" t="s">
        <v>487</v>
      </c>
      <c r="N221" s="6" t="n">
        <v>2</v>
      </c>
      <c r="O221" s="6" t="s">
        <v>427</v>
      </c>
      <c r="P221" s="7"/>
      <c r="Q221" s="6" t="s">
        <v>488</v>
      </c>
      <c r="R221" s="8" t="b">
        <f aca="false">TRUE()</f>
        <v>1</v>
      </c>
      <c r="S221" s="6" t="s">
        <v>93</v>
      </c>
    </row>
    <row r="222" customFormat="false" ht="23.85" hidden="false" customHeight="false" outlineLevel="0" collapsed="false">
      <c r="A222" s="2" t="s">
        <v>424</v>
      </c>
      <c r="B222" s="2" t="n">
        <v>5</v>
      </c>
      <c r="C222" s="2" t="s">
        <v>172</v>
      </c>
      <c r="D222" s="2" t="n">
        <v>1</v>
      </c>
      <c r="E222" s="2" t="s">
        <v>173</v>
      </c>
      <c r="F222" s="2" t="s">
        <v>22</v>
      </c>
      <c r="G222" s="2" t="s">
        <v>225</v>
      </c>
      <c r="H222" s="3" t="s">
        <v>425</v>
      </c>
      <c r="I222" s="2" t="s">
        <v>308</v>
      </c>
      <c r="J222" s="2" t="s">
        <v>309</v>
      </c>
      <c r="K222" s="3" t="s">
        <v>489</v>
      </c>
      <c r="L222" s="2" t="n">
        <f aca="false">MAX(1,ROUND(0.75*Inputs!$B$4*Inputs!$B$5^(B222-1)*INDEX(Inputs!$C$15:$C$23,MATCH("cracking",Inputs!$A$15:$A$23,0))*Inputs!$B$7*Inputs!$B$6^(D222-1)/Inputs!$B$12,0))</f>
        <v>51</v>
      </c>
      <c r="M222" s="2"/>
      <c r="N222" s="2"/>
      <c r="O222" s="2" t="s">
        <v>427</v>
      </c>
      <c r="P222" s="3"/>
      <c r="Q222" s="2" t="s">
        <v>428</v>
      </c>
      <c r="R222" s="2" t="n">
        <v>0.8438</v>
      </c>
      <c r="S222" s="2" t="s">
        <v>297</v>
      </c>
    </row>
    <row r="223" customFormat="false" ht="15" hidden="false" customHeight="false" outlineLevel="0" collapsed="false">
      <c r="A223" s="2" t="s">
        <v>424</v>
      </c>
      <c r="B223" s="2" t="n">
        <v>5</v>
      </c>
      <c r="C223" s="2" t="s">
        <v>172</v>
      </c>
      <c r="D223" s="2" t="n">
        <v>2</v>
      </c>
      <c r="E223" s="2" t="s">
        <v>177</v>
      </c>
      <c r="F223" s="2" t="s">
        <v>22</v>
      </c>
      <c r="G223" s="2" t="s">
        <v>225</v>
      </c>
      <c r="H223" s="3" t="s">
        <v>429</v>
      </c>
      <c r="I223" s="2" t="s">
        <v>308</v>
      </c>
      <c r="J223" s="2" t="s">
        <v>310</v>
      </c>
      <c r="K223" s="3" t="s">
        <v>489</v>
      </c>
      <c r="L223" s="2" t="n">
        <f aca="false">MAX(1,ROUND(0.75*Inputs!$B$4*Inputs!$B$5^(B223-1)*INDEX(Inputs!$C$15:$C$23,MATCH("cracking",Inputs!$A$15:$A$23,0))*Inputs!$B$7*Inputs!$B$6^(D223-1)/Inputs!$B$12,0))</f>
        <v>58</v>
      </c>
      <c r="M223" s="2"/>
      <c r="N223" s="2"/>
      <c r="O223" s="2" t="s">
        <v>427</v>
      </c>
      <c r="P223" s="3"/>
      <c r="Q223" s="2" t="s">
        <v>428</v>
      </c>
      <c r="R223" s="2" t="n">
        <v>0.8438</v>
      </c>
      <c r="S223" s="2" t="s">
        <v>309</v>
      </c>
    </row>
    <row r="224" customFormat="false" ht="15" hidden="false" customHeight="false" outlineLevel="0" collapsed="false">
      <c r="A224" s="2" t="s">
        <v>424</v>
      </c>
      <c r="B224" s="2" t="n">
        <v>5</v>
      </c>
      <c r="C224" s="2" t="s">
        <v>172</v>
      </c>
      <c r="D224" s="2" t="n">
        <v>3</v>
      </c>
      <c r="E224" s="2" t="s">
        <v>179</v>
      </c>
      <c r="F224" s="2" t="s">
        <v>22</v>
      </c>
      <c r="G224" s="2" t="s">
        <v>225</v>
      </c>
      <c r="H224" s="3" t="s">
        <v>429</v>
      </c>
      <c r="I224" s="2" t="s">
        <v>308</v>
      </c>
      <c r="J224" s="2" t="s">
        <v>311</v>
      </c>
      <c r="K224" s="3" t="s">
        <v>489</v>
      </c>
      <c r="L224" s="2" t="n">
        <f aca="false">MAX(1,ROUND(0.75*Inputs!$B$4*Inputs!$B$5^(B224-1)*INDEX(Inputs!$C$15:$C$23,MATCH("cracking",Inputs!$A$15:$A$23,0))*Inputs!$B$7*Inputs!$B$6^(D224-1)/Inputs!$B$12,0))</f>
        <v>67</v>
      </c>
      <c r="M224" s="2"/>
      <c r="N224" s="2"/>
      <c r="O224" s="2" t="s">
        <v>427</v>
      </c>
      <c r="P224" s="3"/>
      <c r="Q224" s="2" t="s">
        <v>428</v>
      </c>
      <c r="R224" s="2" t="n">
        <v>0.8438</v>
      </c>
      <c r="S224" s="2" t="s">
        <v>310</v>
      </c>
    </row>
    <row r="225" customFormat="false" ht="23.85" hidden="false" customHeight="false" outlineLevel="0" collapsed="false">
      <c r="A225" s="2" t="s">
        <v>424</v>
      </c>
      <c r="B225" s="2" t="n">
        <v>5</v>
      </c>
      <c r="C225" s="2" t="s">
        <v>172</v>
      </c>
      <c r="D225" s="2" t="n">
        <v>4</v>
      </c>
      <c r="E225" s="2" t="s">
        <v>181</v>
      </c>
      <c r="F225" s="2" t="s">
        <v>22</v>
      </c>
      <c r="G225" s="2" t="s">
        <v>234</v>
      </c>
      <c r="H225" s="3" t="s">
        <v>430</v>
      </c>
      <c r="I225" s="2" t="s">
        <v>343</v>
      </c>
      <c r="J225" s="2" t="s">
        <v>490</v>
      </c>
      <c r="K225" s="3" t="s">
        <v>489</v>
      </c>
      <c r="L225" s="2" t="n">
        <f aca="false">MAX(1,ROUND(0.75*Inputs!$B$4*Inputs!$B$5^(B225-1)*INDEX(Inputs!$C$15:$C$23,MATCH("cracking",Inputs!$A$15:$A$23,0))*Inputs!$B$7*Inputs!$B$6^(D225-1)/Inputs!$B$12,0))</f>
        <v>77</v>
      </c>
      <c r="M225" s="2"/>
      <c r="N225" s="2"/>
      <c r="O225" s="2" t="s">
        <v>427</v>
      </c>
      <c r="P225" s="3"/>
      <c r="Q225" s="2" t="s">
        <v>432</v>
      </c>
      <c r="R225" s="2" t="n">
        <v>0.016667</v>
      </c>
      <c r="S225" s="2" t="s">
        <v>480</v>
      </c>
    </row>
    <row r="226" customFormat="false" ht="15" hidden="false" customHeight="false" outlineLevel="0" collapsed="false">
      <c r="A226" s="2" t="s">
        <v>424</v>
      </c>
      <c r="B226" s="2" t="n">
        <v>5</v>
      </c>
      <c r="C226" s="2" t="s">
        <v>172</v>
      </c>
      <c r="D226" s="2" t="n">
        <v>5</v>
      </c>
      <c r="E226" s="2" t="s">
        <v>183</v>
      </c>
      <c r="F226" s="2" t="s">
        <v>22</v>
      </c>
      <c r="G226" s="2" t="s">
        <v>234</v>
      </c>
      <c r="H226" s="3" t="s">
        <v>434</v>
      </c>
      <c r="I226" s="2" t="s">
        <v>343</v>
      </c>
      <c r="J226" s="2" t="s">
        <v>491</v>
      </c>
      <c r="K226" s="3" t="s">
        <v>489</v>
      </c>
      <c r="L226" s="2" t="n">
        <f aca="false">MAX(1,ROUND(0.75*Inputs!$B$4*Inputs!$B$5^(B226-1)*INDEX(Inputs!$C$15:$C$23,MATCH("cracking",Inputs!$A$15:$A$23,0))*Inputs!$B$7*Inputs!$B$6^(D226-1)/Inputs!$B$12,0))</f>
        <v>89</v>
      </c>
      <c r="M226" s="2"/>
      <c r="N226" s="2"/>
      <c r="O226" s="2" t="s">
        <v>427</v>
      </c>
      <c r="P226" s="3"/>
      <c r="Q226" s="2" t="s">
        <v>432</v>
      </c>
      <c r="R226" s="2" t="n">
        <v>0.016667</v>
      </c>
      <c r="S226" s="2" t="s">
        <v>490</v>
      </c>
    </row>
    <row r="227" customFormat="false" ht="35.05" hidden="false" customHeight="false" outlineLevel="0" collapsed="false">
      <c r="A227" s="2" t="s">
        <v>424</v>
      </c>
      <c r="B227" s="2" t="n">
        <v>5</v>
      </c>
      <c r="C227" s="2" t="s">
        <v>172</v>
      </c>
      <c r="D227" s="2" t="n">
        <v>6</v>
      </c>
      <c r="E227" s="2" t="s">
        <v>185</v>
      </c>
      <c r="F227" s="2" t="s">
        <v>22</v>
      </c>
      <c r="G227" s="2" t="s">
        <v>436</v>
      </c>
      <c r="H227" s="3" t="s">
        <v>437</v>
      </c>
      <c r="I227" s="2" t="s">
        <v>343</v>
      </c>
      <c r="J227" s="2" t="s">
        <v>492</v>
      </c>
      <c r="K227" s="3" t="s">
        <v>489</v>
      </c>
      <c r="L227" s="2" t="n">
        <f aca="false">MAX(1,ROUND(0.75*Inputs!$B$4*Inputs!$B$5^(B227-1)*INDEX(Inputs!$C$15:$C$23,MATCH("cracking",Inputs!$A$15:$A$23,0))*Inputs!$B$7*Inputs!$B$6^(D227-1)/Inputs!$B$12,0))</f>
        <v>102</v>
      </c>
      <c r="M227" s="2"/>
      <c r="N227" s="2"/>
      <c r="O227" s="2" t="s">
        <v>427</v>
      </c>
      <c r="P227" s="3"/>
      <c r="Q227" s="2" t="s">
        <v>439</v>
      </c>
      <c r="R227" s="2" t="n">
        <v>0.016667</v>
      </c>
      <c r="S227" s="2" t="s">
        <v>482</v>
      </c>
    </row>
    <row r="228" customFormat="false" ht="15" hidden="false" customHeight="false" outlineLevel="0" collapsed="false">
      <c r="A228" s="2" t="s">
        <v>424</v>
      </c>
      <c r="B228" s="2" t="n">
        <v>5</v>
      </c>
      <c r="C228" s="2" t="s">
        <v>172</v>
      </c>
      <c r="D228" s="2" t="n">
        <v>7</v>
      </c>
      <c r="E228" s="2" t="s">
        <v>187</v>
      </c>
      <c r="F228" s="2" t="s">
        <v>22</v>
      </c>
      <c r="G228" s="2" t="s">
        <v>436</v>
      </c>
      <c r="H228" s="3" t="s">
        <v>441</v>
      </c>
      <c r="I228" s="2" t="s">
        <v>343</v>
      </c>
      <c r="J228" s="2" t="s">
        <v>493</v>
      </c>
      <c r="K228" s="3" t="s">
        <v>489</v>
      </c>
      <c r="L228" s="2" t="n">
        <f aca="false">MAX(1,ROUND(0.75*Inputs!$B$4*Inputs!$B$5^(B228-1)*INDEX(Inputs!$C$15:$C$23,MATCH("cracking",Inputs!$A$15:$A$23,0))*Inputs!$B$7*Inputs!$B$6^(D228-1)/Inputs!$B$12,0))</f>
        <v>117</v>
      </c>
      <c r="M228" s="2"/>
      <c r="N228" s="2"/>
      <c r="O228" s="2" t="s">
        <v>427</v>
      </c>
      <c r="P228" s="3"/>
      <c r="Q228" s="2" t="s">
        <v>439</v>
      </c>
      <c r="R228" s="2" t="n">
        <v>0.016667</v>
      </c>
      <c r="S228" s="2" t="s">
        <v>492</v>
      </c>
    </row>
    <row r="229" customFormat="false" ht="15" hidden="false" customHeight="false" outlineLevel="0" collapsed="false">
      <c r="A229" s="4" t="s">
        <v>424</v>
      </c>
      <c r="B229" s="4" t="n">
        <v>5</v>
      </c>
      <c r="C229" s="4" t="s">
        <v>172</v>
      </c>
      <c r="D229" s="4" t="n">
        <v>8</v>
      </c>
      <c r="E229" s="4" t="s">
        <v>189</v>
      </c>
      <c r="F229" s="4" t="s">
        <v>72</v>
      </c>
      <c r="G229" s="4" t="s">
        <v>443</v>
      </c>
      <c r="H229" s="5" t="s">
        <v>444</v>
      </c>
      <c r="I229" s="4" t="s">
        <v>445</v>
      </c>
      <c r="J229" s="4" t="s">
        <v>494</v>
      </c>
      <c r="K229" s="5" t="s">
        <v>489</v>
      </c>
      <c r="L229" s="4" t="n">
        <f aca="false">MAX(1,ROUND(0.75*Inputs!$B$4*Inputs!$B$5^(B229-1)*INDEX(Inputs!$C$15:$C$23,MATCH("cracking",Inputs!$A$15:$A$23,0))*Inputs!$B$7*Inputs!$B$6^(D229-1)/Inputs!$B$12,0))</f>
        <v>135</v>
      </c>
      <c r="M229" s="4"/>
      <c r="N229" s="4"/>
      <c r="O229" s="4" t="s">
        <v>427</v>
      </c>
      <c r="P229" s="5"/>
      <c r="Q229" s="4" t="s">
        <v>447</v>
      </c>
      <c r="R229" s="4" t="n">
        <v>0.08</v>
      </c>
      <c r="S229" s="4" t="s">
        <v>483</v>
      </c>
    </row>
    <row r="230" customFormat="false" ht="15" hidden="false" customHeight="false" outlineLevel="0" collapsed="false">
      <c r="A230" s="4" t="s">
        <v>424</v>
      </c>
      <c r="B230" s="4" t="n">
        <v>5</v>
      </c>
      <c r="C230" s="4" t="s">
        <v>172</v>
      </c>
      <c r="D230" s="4" t="n">
        <v>9</v>
      </c>
      <c r="E230" s="4" t="s">
        <v>191</v>
      </c>
      <c r="F230" s="4" t="s">
        <v>72</v>
      </c>
      <c r="G230" s="4" t="s">
        <v>449</v>
      </c>
      <c r="H230" s="5" t="s">
        <v>450</v>
      </c>
      <c r="I230" s="4" t="s">
        <v>363</v>
      </c>
      <c r="J230" s="4" t="s">
        <v>495</v>
      </c>
      <c r="K230" s="5" t="s">
        <v>489</v>
      </c>
      <c r="L230" s="4" t="n">
        <f aca="false">MAX(1,ROUND(0.75*Inputs!$B$4*Inputs!$B$5^(B230-1)*INDEX(Inputs!$C$15:$C$23,MATCH("cracking",Inputs!$A$15:$A$23,0))*Inputs!$B$7*Inputs!$B$6^(D230-1)/Inputs!$B$12,0))</f>
        <v>155</v>
      </c>
      <c r="M230" s="4"/>
      <c r="N230" s="4"/>
      <c r="O230" s="4" t="s">
        <v>427</v>
      </c>
      <c r="P230" s="5"/>
      <c r="Q230" s="4" t="s">
        <v>452</v>
      </c>
      <c r="R230" s="4" t="n">
        <v>0.1</v>
      </c>
      <c r="S230" s="4" t="s">
        <v>484</v>
      </c>
    </row>
    <row r="231" customFormat="false" ht="23.85" hidden="false" customHeight="false" outlineLevel="0" collapsed="false">
      <c r="A231" s="6" t="s">
        <v>424</v>
      </c>
      <c r="B231" s="6" t="n">
        <v>5</v>
      </c>
      <c r="C231" s="6" t="s">
        <v>172</v>
      </c>
      <c r="D231" s="6" t="n">
        <v>10</v>
      </c>
      <c r="E231" s="6" t="s">
        <v>193</v>
      </c>
      <c r="F231" s="6" t="s">
        <v>87</v>
      </c>
      <c r="G231" s="6" t="s">
        <v>318</v>
      </c>
      <c r="H231" s="7" t="s">
        <v>496</v>
      </c>
      <c r="I231" s="6" t="s">
        <v>90</v>
      </c>
      <c r="J231" s="6"/>
      <c r="K231" s="7" t="s">
        <v>489</v>
      </c>
      <c r="L231" s="6" t="n">
        <f aca="false">MAX(1,ROUND(0.75*Inputs!$B$4*Inputs!$B$5^(B231-1)*INDEX(Inputs!$C$15:$C$23,MATCH("cracking",Inputs!$A$15:$A$23,0))*Inputs!$B$7*Inputs!$B$6^(D231-1)/Inputs!$B$12,0))</f>
        <v>178</v>
      </c>
      <c r="M231" s="6" t="s">
        <v>497</v>
      </c>
      <c r="N231" s="6" t="n">
        <v>2</v>
      </c>
      <c r="O231" s="6" t="s">
        <v>427</v>
      </c>
      <c r="P231" s="7"/>
      <c r="Q231" s="6" t="s">
        <v>498</v>
      </c>
      <c r="R231" s="8" t="b">
        <f aca="false">TRUE()</f>
        <v>1</v>
      </c>
      <c r="S231" s="6" t="s">
        <v>93</v>
      </c>
    </row>
    <row r="232" customFormat="false" ht="23.85" hidden="false" customHeight="false" outlineLevel="0" collapsed="false">
      <c r="A232" s="2" t="s">
        <v>424</v>
      </c>
      <c r="B232" s="2" t="n">
        <v>6</v>
      </c>
      <c r="C232" s="2" t="s">
        <v>198</v>
      </c>
      <c r="D232" s="2" t="n">
        <v>1</v>
      </c>
      <c r="E232" s="2" t="s">
        <v>199</v>
      </c>
      <c r="F232" s="2" t="s">
        <v>22</v>
      </c>
      <c r="G232" s="2" t="s">
        <v>225</v>
      </c>
      <c r="H232" s="3" t="s">
        <v>425</v>
      </c>
      <c r="I232" s="2" t="s">
        <v>322</v>
      </c>
      <c r="J232" s="2" t="s">
        <v>323</v>
      </c>
      <c r="K232" s="3" t="s">
        <v>499</v>
      </c>
      <c r="L232" s="2" t="n">
        <f aca="false">MAX(1,ROUND(1*Inputs!$B$4*Inputs!$B$5^(B232-1)*INDEX(Inputs!$C$15:$C$23,MATCH("cracking",Inputs!$A$15:$A$23,0))*Inputs!$B$7*Inputs!$B$6^(D232-1)/Inputs!$B$12,0))</f>
        <v>74</v>
      </c>
      <c r="M232" s="2"/>
      <c r="N232" s="2"/>
      <c r="O232" s="2" t="s">
        <v>427</v>
      </c>
      <c r="P232" s="3"/>
      <c r="Q232" s="2" t="s">
        <v>428</v>
      </c>
      <c r="R232" s="2" t="n">
        <v>1.2656</v>
      </c>
      <c r="S232" s="2" t="s">
        <v>311</v>
      </c>
    </row>
    <row r="233" customFormat="false" ht="15" hidden="false" customHeight="false" outlineLevel="0" collapsed="false">
      <c r="A233" s="2" t="s">
        <v>424</v>
      </c>
      <c r="B233" s="2" t="n">
        <v>6</v>
      </c>
      <c r="C233" s="2" t="s">
        <v>198</v>
      </c>
      <c r="D233" s="2" t="n">
        <v>2</v>
      </c>
      <c r="E233" s="2" t="s">
        <v>203</v>
      </c>
      <c r="F233" s="2" t="s">
        <v>22</v>
      </c>
      <c r="G233" s="2" t="s">
        <v>225</v>
      </c>
      <c r="H233" s="3" t="s">
        <v>429</v>
      </c>
      <c r="I233" s="2" t="s">
        <v>322</v>
      </c>
      <c r="J233" s="2" t="s">
        <v>324</v>
      </c>
      <c r="K233" s="3" t="s">
        <v>499</v>
      </c>
      <c r="L233" s="2" t="n">
        <f aca="false">MAX(1,ROUND(1*Inputs!$B$4*Inputs!$B$5^(B233-1)*INDEX(Inputs!$C$15:$C$23,MATCH("cracking",Inputs!$A$15:$A$23,0))*Inputs!$B$7*Inputs!$B$6^(D233-1)/Inputs!$B$12,0))</f>
        <v>86</v>
      </c>
      <c r="M233" s="2"/>
      <c r="N233" s="2"/>
      <c r="O233" s="2" t="s">
        <v>427</v>
      </c>
      <c r="P233" s="3"/>
      <c r="Q233" s="2" t="s">
        <v>428</v>
      </c>
      <c r="R233" s="2" t="n">
        <v>1.2656</v>
      </c>
      <c r="S233" s="2" t="s">
        <v>323</v>
      </c>
    </row>
    <row r="234" customFormat="false" ht="15" hidden="false" customHeight="false" outlineLevel="0" collapsed="false">
      <c r="A234" s="2" t="s">
        <v>424</v>
      </c>
      <c r="B234" s="2" t="n">
        <v>6</v>
      </c>
      <c r="C234" s="2" t="s">
        <v>198</v>
      </c>
      <c r="D234" s="2" t="n">
        <v>3</v>
      </c>
      <c r="E234" s="2" t="s">
        <v>205</v>
      </c>
      <c r="F234" s="2" t="s">
        <v>22</v>
      </c>
      <c r="G234" s="2" t="s">
        <v>225</v>
      </c>
      <c r="H234" s="3" t="s">
        <v>429</v>
      </c>
      <c r="I234" s="2" t="s">
        <v>322</v>
      </c>
      <c r="J234" s="2" t="s">
        <v>325</v>
      </c>
      <c r="K234" s="3" t="s">
        <v>499</v>
      </c>
      <c r="L234" s="2" t="n">
        <f aca="false">MAX(1,ROUND(1*Inputs!$B$4*Inputs!$B$5^(B234-1)*INDEX(Inputs!$C$15:$C$23,MATCH("cracking",Inputs!$A$15:$A$23,0))*Inputs!$B$7*Inputs!$B$6^(D234-1)/Inputs!$B$12,0))</f>
        <v>98</v>
      </c>
      <c r="M234" s="2"/>
      <c r="N234" s="2"/>
      <c r="O234" s="2" t="s">
        <v>427</v>
      </c>
      <c r="P234" s="3"/>
      <c r="Q234" s="2" t="s">
        <v>428</v>
      </c>
      <c r="R234" s="2" t="n">
        <v>1.2656</v>
      </c>
      <c r="S234" s="2" t="s">
        <v>324</v>
      </c>
    </row>
    <row r="235" customFormat="false" ht="23.85" hidden="false" customHeight="false" outlineLevel="0" collapsed="false">
      <c r="A235" s="2" t="s">
        <v>424</v>
      </c>
      <c r="B235" s="2" t="n">
        <v>6</v>
      </c>
      <c r="C235" s="2" t="s">
        <v>198</v>
      </c>
      <c r="D235" s="2" t="n">
        <v>4</v>
      </c>
      <c r="E235" s="2" t="s">
        <v>207</v>
      </c>
      <c r="F235" s="2" t="s">
        <v>22</v>
      </c>
      <c r="G235" s="2" t="s">
        <v>234</v>
      </c>
      <c r="H235" s="3" t="s">
        <v>430</v>
      </c>
      <c r="I235" s="2" t="s">
        <v>343</v>
      </c>
      <c r="J235" s="2" t="s">
        <v>500</v>
      </c>
      <c r="K235" s="3" t="s">
        <v>499</v>
      </c>
      <c r="L235" s="2" t="n">
        <f aca="false">MAX(1,ROUND(1*Inputs!$B$4*Inputs!$B$5^(B235-1)*INDEX(Inputs!$C$15:$C$23,MATCH("cracking",Inputs!$A$15:$A$23,0))*Inputs!$B$7*Inputs!$B$6^(D235-1)/Inputs!$B$12,0))</f>
        <v>113</v>
      </c>
      <c r="M235" s="2"/>
      <c r="N235" s="2"/>
      <c r="O235" s="2" t="s">
        <v>427</v>
      </c>
      <c r="P235" s="3"/>
      <c r="Q235" s="2" t="s">
        <v>432</v>
      </c>
      <c r="R235" s="2" t="n">
        <v>0.016667</v>
      </c>
      <c r="S235" s="2" t="s">
        <v>491</v>
      </c>
    </row>
    <row r="236" customFormat="false" ht="15" hidden="false" customHeight="false" outlineLevel="0" collapsed="false">
      <c r="A236" s="2" t="s">
        <v>424</v>
      </c>
      <c r="B236" s="2" t="n">
        <v>6</v>
      </c>
      <c r="C236" s="2" t="s">
        <v>198</v>
      </c>
      <c r="D236" s="2" t="n">
        <v>5</v>
      </c>
      <c r="E236" s="2" t="s">
        <v>209</v>
      </c>
      <c r="F236" s="2" t="s">
        <v>22</v>
      </c>
      <c r="G236" s="2" t="s">
        <v>234</v>
      </c>
      <c r="H236" s="3" t="s">
        <v>434</v>
      </c>
      <c r="I236" s="2" t="s">
        <v>343</v>
      </c>
      <c r="J236" s="2" t="s">
        <v>501</v>
      </c>
      <c r="K236" s="3" t="s">
        <v>499</v>
      </c>
      <c r="L236" s="2" t="n">
        <f aca="false">MAX(1,ROUND(1*Inputs!$B$4*Inputs!$B$5^(B236-1)*INDEX(Inputs!$C$15:$C$23,MATCH("cracking",Inputs!$A$15:$A$23,0))*Inputs!$B$7*Inputs!$B$6^(D236-1)/Inputs!$B$12,0))</f>
        <v>130</v>
      </c>
      <c r="M236" s="2"/>
      <c r="N236" s="2"/>
      <c r="O236" s="2" t="s">
        <v>427</v>
      </c>
      <c r="P236" s="3"/>
      <c r="Q236" s="2" t="s">
        <v>432</v>
      </c>
      <c r="R236" s="2" t="n">
        <v>0.016667</v>
      </c>
      <c r="S236" s="2" t="s">
        <v>500</v>
      </c>
    </row>
    <row r="237" customFormat="false" ht="35.05" hidden="false" customHeight="false" outlineLevel="0" collapsed="false">
      <c r="A237" s="2" t="s">
        <v>424</v>
      </c>
      <c r="B237" s="2" t="n">
        <v>6</v>
      </c>
      <c r="C237" s="2" t="s">
        <v>198</v>
      </c>
      <c r="D237" s="2" t="n">
        <v>6</v>
      </c>
      <c r="E237" s="2" t="s">
        <v>211</v>
      </c>
      <c r="F237" s="2" t="s">
        <v>22</v>
      </c>
      <c r="G237" s="2" t="s">
        <v>436</v>
      </c>
      <c r="H237" s="3" t="s">
        <v>437</v>
      </c>
      <c r="I237" s="2" t="s">
        <v>343</v>
      </c>
      <c r="J237" s="2" t="s">
        <v>502</v>
      </c>
      <c r="K237" s="3" t="s">
        <v>499</v>
      </c>
      <c r="L237" s="2" t="n">
        <f aca="false">MAX(1,ROUND(1*Inputs!$B$4*Inputs!$B$5^(B237-1)*INDEX(Inputs!$C$15:$C$23,MATCH("cracking",Inputs!$A$15:$A$23,0))*Inputs!$B$7*Inputs!$B$6^(D237-1)/Inputs!$B$12,0))</f>
        <v>150</v>
      </c>
      <c r="M237" s="2"/>
      <c r="N237" s="2"/>
      <c r="O237" s="2" t="s">
        <v>427</v>
      </c>
      <c r="P237" s="3"/>
      <c r="Q237" s="2" t="s">
        <v>439</v>
      </c>
      <c r="R237" s="2" t="n">
        <v>0.016667</v>
      </c>
      <c r="S237" s="2" t="s">
        <v>493</v>
      </c>
    </row>
    <row r="238" customFormat="false" ht="15" hidden="false" customHeight="false" outlineLevel="0" collapsed="false">
      <c r="A238" s="2" t="s">
        <v>424</v>
      </c>
      <c r="B238" s="2" t="n">
        <v>6</v>
      </c>
      <c r="C238" s="2" t="s">
        <v>198</v>
      </c>
      <c r="D238" s="2" t="n">
        <v>7</v>
      </c>
      <c r="E238" s="2" t="s">
        <v>213</v>
      </c>
      <c r="F238" s="2" t="s">
        <v>22</v>
      </c>
      <c r="G238" s="2" t="s">
        <v>436</v>
      </c>
      <c r="H238" s="3" t="s">
        <v>441</v>
      </c>
      <c r="I238" s="2" t="s">
        <v>343</v>
      </c>
      <c r="J238" s="2" t="s">
        <v>503</v>
      </c>
      <c r="K238" s="3" t="s">
        <v>499</v>
      </c>
      <c r="L238" s="2" t="n">
        <f aca="false">MAX(1,ROUND(1*Inputs!$B$4*Inputs!$B$5^(B238-1)*INDEX(Inputs!$C$15:$C$23,MATCH("cracking",Inputs!$A$15:$A$23,0))*Inputs!$B$7*Inputs!$B$6^(D238-1)/Inputs!$B$12,0))</f>
        <v>172</v>
      </c>
      <c r="M238" s="2"/>
      <c r="N238" s="2"/>
      <c r="O238" s="2" t="s">
        <v>427</v>
      </c>
      <c r="P238" s="3"/>
      <c r="Q238" s="2" t="s">
        <v>439</v>
      </c>
      <c r="R238" s="2" t="n">
        <v>0.016667</v>
      </c>
      <c r="S238" s="2" t="s">
        <v>502</v>
      </c>
    </row>
    <row r="239" customFormat="false" ht="15" hidden="false" customHeight="false" outlineLevel="0" collapsed="false">
      <c r="A239" s="4" t="s">
        <v>424</v>
      </c>
      <c r="B239" s="4" t="n">
        <v>6</v>
      </c>
      <c r="C239" s="4" t="s">
        <v>198</v>
      </c>
      <c r="D239" s="4" t="n">
        <v>8</v>
      </c>
      <c r="E239" s="4" t="s">
        <v>215</v>
      </c>
      <c r="F239" s="4" t="s">
        <v>72</v>
      </c>
      <c r="G239" s="4" t="s">
        <v>443</v>
      </c>
      <c r="H239" s="5" t="s">
        <v>444</v>
      </c>
      <c r="I239" s="4" t="s">
        <v>445</v>
      </c>
      <c r="J239" s="4" t="s">
        <v>504</v>
      </c>
      <c r="K239" s="5" t="s">
        <v>499</v>
      </c>
      <c r="L239" s="4" t="n">
        <f aca="false">MAX(1,ROUND(1*Inputs!$B$4*Inputs!$B$5^(B239-1)*INDEX(Inputs!$C$15:$C$23,MATCH("cracking",Inputs!$A$15:$A$23,0))*Inputs!$B$7*Inputs!$B$6^(D239-1)/Inputs!$B$12,0))</f>
        <v>198</v>
      </c>
      <c r="M239" s="4"/>
      <c r="N239" s="4"/>
      <c r="O239" s="4" t="s">
        <v>427</v>
      </c>
      <c r="P239" s="5"/>
      <c r="Q239" s="4" t="s">
        <v>447</v>
      </c>
      <c r="R239" s="4" t="n">
        <v>0.08</v>
      </c>
      <c r="S239" s="4" t="s">
        <v>494</v>
      </c>
    </row>
    <row r="240" customFormat="false" ht="15" hidden="false" customHeight="false" outlineLevel="0" collapsed="false">
      <c r="A240" s="4" t="s">
        <v>424</v>
      </c>
      <c r="B240" s="4" t="n">
        <v>6</v>
      </c>
      <c r="C240" s="4" t="s">
        <v>198</v>
      </c>
      <c r="D240" s="4" t="n">
        <v>9</v>
      </c>
      <c r="E240" s="4" t="s">
        <v>217</v>
      </c>
      <c r="F240" s="4" t="s">
        <v>72</v>
      </c>
      <c r="G240" s="4" t="s">
        <v>449</v>
      </c>
      <c r="H240" s="5" t="s">
        <v>450</v>
      </c>
      <c r="I240" s="4" t="s">
        <v>363</v>
      </c>
      <c r="J240" s="4" t="s">
        <v>505</v>
      </c>
      <c r="K240" s="5" t="s">
        <v>499</v>
      </c>
      <c r="L240" s="4" t="n">
        <f aca="false">MAX(1,ROUND(1*Inputs!$B$4*Inputs!$B$5^(B240-1)*INDEX(Inputs!$C$15:$C$23,MATCH("cracking",Inputs!$A$15:$A$23,0))*Inputs!$B$7*Inputs!$B$6^(D240-1)/Inputs!$B$12,0))</f>
        <v>227</v>
      </c>
      <c r="M240" s="4"/>
      <c r="N240" s="4"/>
      <c r="O240" s="4" t="s">
        <v>427</v>
      </c>
      <c r="P240" s="5"/>
      <c r="Q240" s="4" t="s">
        <v>452</v>
      </c>
      <c r="R240" s="4" t="n">
        <v>0.1</v>
      </c>
      <c r="S240" s="4" t="s">
        <v>495</v>
      </c>
    </row>
    <row r="241" customFormat="false" ht="23.85" hidden="false" customHeight="false" outlineLevel="0" collapsed="false">
      <c r="A241" s="6" t="s">
        <v>424</v>
      </c>
      <c r="B241" s="6" t="n">
        <v>6</v>
      </c>
      <c r="C241" s="6" t="s">
        <v>198</v>
      </c>
      <c r="D241" s="6" t="n">
        <v>10</v>
      </c>
      <c r="E241" s="6" t="s">
        <v>219</v>
      </c>
      <c r="F241" s="6" t="s">
        <v>87</v>
      </c>
      <c r="G241" s="6" t="s">
        <v>506</v>
      </c>
      <c r="H241" s="7" t="s">
        <v>507</v>
      </c>
      <c r="I241" s="6" t="s">
        <v>90</v>
      </c>
      <c r="J241" s="6"/>
      <c r="K241" s="7" t="s">
        <v>499</v>
      </c>
      <c r="L241" s="6" t="n">
        <f aca="false">MAX(1,ROUND(1*Inputs!$B$4*Inputs!$B$5^(B241-1)*INDEX(Inputs!$C$15:$C$23,MATCH("cracking",Inputs!$A$15:$A$23,0))*Inputs!$B$7*Inputs!$B$6^(D241-1)/Inputs!$B$12,0))</f>
        <v>262</v>
      </c>
      <c r="M241" s="6" t="s">
        <v>508</v>
      </c>
      <c r="N241" s="6" t="n">
        <v>2</v>
      </c>
      <c r="O241" s="6" t="s">
        <v>427</v>
      </c>
      <c r="P241" s="7"/>
      <c r="Q241" s="6" t="s">
        <v>509</v>
      </c>
      <c r="R241" s="8" t="b">
        <f aca="false">TRUE()</f>
        <v>1</v>
      </c>
      <c r="S241" s="6" t="s">
        <v>93</v>
      </c>
    </row>
    <row r="242" customFormat="false" ht="23.85" hidden="false" customHeight="false" outlineLevel="0" collapsed="false">
      <c r="A242" s="2" t="s">
        <v>510</v>
      </c>
      <c r="B242" s="2" t="n">
        <v>1</v>
      </c>
      <c r="C242" s="2" t="s">
        <v>20</v>
      </c>
      <c r="D242" s="2" t="n">
        <v>1</v>
      </c>
      <c r="E242" s="2" t="s">
        <v>21</v>
      </c>
      <c r="F242" s="2" t="s">
        <v>22</v>
      </c>
      <c r="G242" s="2" t="s">
        <v>225</v>
      </c>
      <c r="H242" s="3" t="s">
        <v>511</v>
      </c>
      <c r="I242" s="2" t="s">
        <v>227</v>
      </c>
      <c r="J242" s="2" t="s">
        <v>228</v>
      </c>
      <c r="K242" s="3" t="s">
        <v>512</v>
      </c>
      <c r="L242" s="2" t="n">
        <f aca="false">MAX(1,ROUND(0.3*Inputs!$B$4*Inputs!$B$5^(B242-1)*INDEX(Inputs!$C$15:$C$23,MATCH("matching",Inputs!$A$15:$A$23,0))*Inputs!$B$7*Inputs!$B$6^(D242-1)/Inputs!$B$12,0))</f>
        <v>8</v>
      </c>
      <c r="M242" s="2"/>
      <c r="N242" s="2"/>
      <c r="O242" s="2" t="s">
        <v>513</v>
      </c>
      <c r="P242" s="3"/>
      <c r="Q242" s="2" t="s">
        <v>514</v>
      </c>
      <c r="R242" s="2" t="n">
        <v>0.1667</v>
      </c>
      <c r="S242" s="2" t="s">
        <v>230</v>
      </c>
    </row>
    <row r="243" customFormat="false" ht="15" hidden="false" customHeight="false" outlineLevel="0" collapsed="false">
      <c r="A243" s="2" t="s">
        <v>510</v>
      </c>
      <c r="B243" s="2" t="n">
        <v>1</v>
      </c>
      <c r="C243" s="2" t="s">
        <v>20</v>
      </c>
      <c r="D243" s="2" t="n">
        <v>2</v>
      </c>
      <c r="E243" s="2" t="s">
        <v>31</v>
      </c>
      <c r="F243" s="2" t="s">
        <v>22</v>
      </c>
      <c r="G243" s="2" t="s">
        <v>225</v>
      </c>
      <c r="H243" s="3" t="s">
        <v>515</v>
      </c>
      <c r="I243" s="2" t="s">
        <v>227</v>
      </c>
      <c r="J243" s="2" t="s">
        <v>232</v>
      </c>
      <c r="K243" s="3" t="s">
        <v>512</v>
      </c>
      <c r="L243" s="2" t="n">
        <f aca="false">MAX(1,ROUND(0.3*Inputs!$B$4*Inputs!$B$5^(B243-1)*INDEX(Inputs!$C$15:$C$23,MATCH("matching",Inputs!$A$15:$A$23,0))*Inputs!$B$7*Inputs!$B$6^(D243-1)/Inputs!$B$12,0))</f>
        <v>9</v>
      </c>
      <c r="M243" s="2"/>
      <c r="N243" s="2"/>
      <c r="O243" s="2" t="s">
        <v>513</v>
      </c>
      <c r="P243" s="3"/>
      <c r="Q243" s="2" t="s">
        <v>514</v>
      </c>
      <c r="R243" s="2" t="n">
        <v>0.1667</v>
      </c>
      <c r="S243" s="2" t="s">
        <v>228</v>
      </c>
    </row>
    <row r="244" customFormat="false" ht="15" hidden="false" customHeight="false" outlineLevel="0" collapsed="false">
      <c r="A244" s="2" t="s">
        <v>510</v>
      </c>
      <c r="B244" s="2" t="n">
        <v>1</v>
      </c>
      <c r="C244" s="2" t="s">
        <v>20</v>
      </c>
      <c r="D244" s="2" t="n">
        <v>3</v>
      </c>
      <c r="E244" s="2" t="s">
        <v>38</v>
      </c>
      <c r="F244" s="2" t="s">
        <v>22</v>
      </c>
      <c r="G244" s="2" t="s">
        <v>225</v>
      </c>
      <c r="H244" s="3" t="s">
        <v>515</v>
      </c>
      <c r="I244" s="2" t="s">
        <v>227</v>
      </c>
      <c r="J244" s="2" t="s">
        <v>233</v>
      </c>
      <c r="K244" s="3" t="s">
        <v>512</v>
      </c>
      <c r="L244" s="2" t="n">
        <f aca="false">MAX(1,ROUND(0.3*Inputs!$B$4*Inputs!$B$5^(B244-1)*INDEX(Inputs!$C$15:$C$23,MATCH("matching",Inputs!$A$15:$A$23,0))*Inputs!$B$7*Inputs!$B$6^(D244-1)/Inputs!$B$12,0))</f>
        <v>10</v>
      </c>
      <c r="M244" s="2"/>
      <c r="N244" s="2"/>
      <c r="O244" s="2" t="s">
        <v>513</v>
      </c>
      <c r="P244" s="3"/>
      <c r="Q244" s="2" t="s">
        <v>514</v>
      </c>
      <c r="R244" s="2" t="n">
        <v>0.1667</v>
      </c>
      <c r="S244" s="2" t="s">
        <v>232</v>
      </c>
    </row>
    <row r="245" customFormat="false" ht="23.85" hidden="false" customHeight="false" outlineLevel="0" collapsed="false">
      <c r="A245" s="2" t="s">
        <v>510</v>
      </c>
      <c r="B245" s="2" t="n">
        <v>1</v>
      </c>
      <c r="C245" s="2" t="s">
        <v>20</v>
      </c>
      <c r="D245" s="2" t="n">
        <v>4</v>
      </c>
      <c r="E245" s="2" t="s">
        <v>47</v>
      </c>
      <c r="F245" s="2" t="s">
        <v>22</v>
      </c>
      <c r="G245" s="2" t="s">
        <v>234</v>
      </c>
      <c r="H245" s="3" t="s">
        <v>516</v>
      </c>
      <c r="I245" s="2" t="s">
        <v>343</v>
      </c>
      <c r="J245" s="2" t="s">
        <v>517</v>
      </c>
      <c r="K245" s="3" t="s">
        <v>512</v>
      </c>
      <c r="L245" s="2" t="n">
        <f aca="false">MAX(1,ROUND(0.3*Inputs!$B$4*Inputs!$B$5^(B245-1)*INDEX(Inputs!$C$15:$C$23,MATCH("matching",Inputs!$A$15:$A$23,0))*Inputs!$B$7*Inputs!$B$6^(D245-1)/Inputs!$B$12,0))</f>
        <v>12</v>
      </c>
      <c r="M245" s="2"/>
      <c r="N245" s="2"/>
      <c r="O245" s="2" t="s">
        <v>513</v>
      </c>
      <c r="P245" s="3"/>
      <c r="Q245" s="2" t="s">
        <v>518</v>
      </c>
      <c r="R245" s="2" t="n">
        <v>0.016667</v>
      </c>
      <c r="S245" s="2" t="s">
        <v>239</v>
      </c>
    </row>
    <row r="246" customFormat="false" ht="15" hidden="false" customHeight="false" outlineLevel="0" collapsed="false">
      <c r="A246" s="2" t="s">
        <v>510</v>
      </c>
      <c r="B246" s="2" t="n">
        <v>1</v>
      </c>
      <c r="C246" s="2" t="s">
        <v>20</v>
      </c>
      <c r="D246" s="2" t="n">
        <v>5</v>
      </c>
      <c r="E246" s="2" t="s">
        <v>54</v>
      </c>
      <c r="F246" s="2" t="s">
        <v>22</v>
      </c>
      <c r="G246" s="2" t="s">
        <v>234</v>
      </c>
      <c r="H246" s="3" t="s">
        <v>519</v>
      </c>
      <c r="I246" s="2" t="s">
        <v>343</v>
      </c>
      <c r="J246" s="2" t="s">
        <v>520</v>
      </c>
      <c r="K246" s="3" t="s">
        <v>512</v>
      </c>
      <c r="L246" s="2" t="n">
        <f aca="false">MAX(1,ROUND(0.3*Inputs!$B$4*Inputs!$B$5^(B246-1)*INDEX(Inputs!$C$15:$C$23,MATCH("matching",Inputs!$A$15:$A$23,0))*Inputs!$B$7*Inputs!$B$6^(D246-1)/Inputs!$B$12,0))</f>
        <v>14</v>
      </c>
      <c r="M246" s="2"/>
      <c r="N246" s="2"/>
      <c r="O246" s="2" t="s">
        <v>513</v>
      </c>
      <c r="P246" s="3"/>
      <c r="Q246" s="2" t="s">
        <v>518</v>
      </c>
      <c r="R246" s="2" t="n">
        <v>0.016667</v>
      </c>
      <c r="S246" s="2" t="s">
        <v>517</v>
      </c>
    </row>
    <row r="247" customFormat="false" ht="23.85" hidden="false" customHeight="false" outlineLevel="0" collapsed="false">
      <c r="A247" s="2" t="s">
        <v>510</v>
      </c>
      <c r="B247" s="2" t="n">
        <v>1</v>
      </c>
      <c r="C247" s="2" t="s">
        <v>20</v>
      </c>
      <c r="D247" s="2" t="n">
        <v>6</v>
      </c>
      <c r="E247" s="2" t="s">
        <v>57</v>
      </c>
      <c r="F247" s="2" t="s">
        <v>22</v>
      </c>
      <c r="G247" s="2" t="s">
        <v>436</v>
      </c>
      <c r="H247" s="3" t="s">
        <v>521</v>
      </c>
      <c r="I247" s="2" t="s">
        <v>343</v>
      </c>
      <c r="J247" s="2" t="s">
        <v>522</v>
      </c>
      <c r="K247" s="3" t="s">
        <v>512</v>
      </c>
      <c r="L247" s="2" t="n">
        <f aca="false">MAX(1,ROUND(0.3*Inputs!$B$4*Inputs!$B$5^(B247-1)*INDEX(Inputs!$C$15:$C$23,MATCH("matching",Inputs!$A$15:$A$23,0))*Inputs!$B$7*Inputs!$B$6^(D247-1)/Inputs!$B$12,0))</f>
        <v>16</v>
      </c>
      <c r="M247" s="2"/>
      <c r="N247" s="2"/>
      <c r="O247" s="2" t="s">
        <v>513</v>
      </c>
      <c r="P247" s="3"/>
      <c r="Q247" s="2" t="s">
        <v>523</v>
      </c>
      <c r="R247" s="2" t="n">
        <v>0.016667</v>
      </c>
      <c r="S247" s="2" t="s">
        <v>524</v>
      </c>
    </row>
    <row r="248" customFormat="false" ht="15" hidden="false" customHeight="false" outlineLevel="0" collapsed="false">
      <c r="A248" s="2" t="s">
        <v>510</v>
      </c>
      <c r="B248" s="2" t="n">
        <v>1</v>
      </c>
      <c r="C248" s="2" t="s">
        <v>20</v>
      </c>
      <c r="D248" s="2" t="n">
        <v>7</v>
      </c>
      <c r="E248" s="2" t="s">
        <v>64</v>
      </c>
      <c r="F248" s="2" t="s">
        <v>22</v>
      </c>
      <c r="G248" s="2" t="s">
        <v>436</v>
      </c>
      <c r="H248" s="3" t="s">
        <v>525</v>
      </c>
      <c r="I248" s="2" t="s">
        <v>343</v>
      </c>
      <c r="J248" s="2" t="s">
        <v>526</v>
      </c>
      <c r="K248" s="3" t="s">
        <v>512</v>
      </c>
      <c r="L248" s="2" t="n">
        <f aca="false">MAX(1,ROUND(0.3*Inputs!$B$4*Inputs!$B$5^(B248-1)*INDEX(Inputs!$C$15:$C$23,MATCH("matching",Inputs!$A$15:$A$23,0))*Inputs!$B$7*Inputs!$B$6^(D248-1)/Inputs!$B$12,0))</f>
        <v>18</v>
      </c>
      <c r="M248" s="2"/>
      <c r="N248" s="2"/>
      <c r="O248" s="2" t="s">
        <v>513</v>
      </c>
      <c r="P248" s="3"/>
      <c r="Q248" s="2" t="s">
        <v>523</v>
      </c>
      <c r="R248" s="2" t="n">
        <v>0.016667</v>
      </c>
      <c r="S248" s="2" t="s">
        <v>522</v>
      </c>
    </row>
    <row r="249" customFormat="false" ht="15" hidden="false" customHeight="false" outlineLevel="0" collapsed="false">
      <c r="A249" s="4" t="s">
        <v>510</v>
      </c>
      <c r="B249" s="4" t="n">
        <v>1</v>
      </c>
      <c r="C249" s="4" t="s">
        <v>20</v>
      </c>
      <c r="D249" s="4" t="n">
        <v>8</v>
      </c>
      <c r="E249" s="4" t="s">
        <v>71</v>
      </c>
      <c r="F249" s="4" t="s">
        <v>72</v>
      </c>
      <c r="G249" s="4" t="s">
        <v>527</v>
      </c>
      <c r="H249" s="5" t="s">
        <v>528</v>
      </c>
      <c r="I249" s="4" t="s">
        <v>363</v>
      </c>
      <c r="J249" s="4" t="s">
        <v>259</v>
      </c>
      <c r="K249" s="5" t="s">
        <v>512</v>
      </c>
      <c r="L249" s="4" t="n">
        <f aca="false">MAX(1,ROUND(0.3*Inputs!$B$4*Inputs!$B$5^(B249-1)*INDEX(Inputs!$C$15:$C$23,MATCH("matching",Inputs!$A$15:$A$23,0))*Inputs!$B$7*Inputs!$B$6^(D249-1)/Inputs!$B$12,0))</f>
        <v>21</v>
      </c>
      <c r="M249" s="4"/>
      <c r="N249" s="4"/>
      <c r="O249" s="4" t="s">
        <v>513</v>
      </c>
      <c r="P249" s="5"/>
      <c r="Q249" s="4" t="s">
        <v>529</v>
      </c>
      <c r="R249" s="4" t="n">
        <v>0.1</v>
      </c>
      <c r="S249" s="4" t="s">
        <v>261</v>
      </c>
    </row>
    <row r="250" customFormat="false" ht="23.85" hidden="false" customHeight="false" outlineLevel="0" collapsed="false">
      <c r="A250" s="4" t="s">
        <v>510</v>
      </c>
      <c r="B250" s="4" t="n">
        <v>1</v>
      </c>
      <c r="C250" s="4" t="s">
        <v>20</v>
      </c>
      <c r="D250" s="4" t="n">
        <v>9</v>
      </c>
      <c r="E250" s="4" t="s">
        <v>79</v>
      </c>
      <c r="F250" s="4" t="s">
        <v>72</v>
      </c>
      <c r="G250" s="4" t="s">
        <v>530</v>
      </c>
      <c r="H250" s="5" t="s">
        <v>531</v>
      </c>
      <c r="I250" s="4" t="s">
        <v>532</v>
      </c>
      <c r="J250" s="4" t="s">
        <v>533</v>
      </c>
      <c r="K250" s="5" t="s">
        <v>512</v>
      </c>
      <c r="L250" s="4" t="n">
        <f aca="false">MAX(1,ROUND(0.3*Inputs!$B$4*Inputs!$B$5^(B250-1)*INDEX(Inputs!$C$15:$C$23,MATCH("matching",Inputs!$A$15:$A$23,0))*Inputs!$B$7*Inputs!$B$6^(D250-1)/Inputs!$B$12,0))</f>
        <v>24</v>
      </c>
      <c r="M250" s="4"/>
      <c r="N250" s="4"/>
      <c r="O250" s="4" t="s">
        <v>513</v>
      </c>
      <c r="P250" s="5"/>
      <c r="Q250" s="4" t="s">
        <v>534</v>
      </c>
      <c r="R250" s="4" t="n">
        <v>0.05</v>
      </c>
      <c r="S250" s="4" t="s">
        <v>535</v>
      </c>
    </row>
    <row r="251" customFormat="false" ht="23.85" hidden="false" customHeight="false" outlineLevel="0" collapsed="false">
      <c r="A251" s="6" t="s">
        <v>510</v>
      </c>
      <c r="B251" s="6" t="n">
        <v>1</v>
      </c>
      <c r="C251" s="6" t="s">
        <v>20</v>
      </c>
      <c r="D251" s="6" t="n">
        <v>10</v>
      </c>
      <c r="E251" s="6" t="s">
        <v>86</v>
      </c>
      <c r="F251" s="6" t="s">
        <v>87</v>
      </c>
      <c r="G251" s="6" t="s">
        <v>262</v>
      </c>
      <c r="H251" s="7" t="s">
        <v>367</v>
      </c>
      <c r="I251" s="6" t="s">
        <v>90</v>
      </c>
      <c r="J251" s="6"/>
      <c r="K251" s="7" t="s">
        <v>512</v>
      </c>
      <c r="L251" s="6" t="n">
        <f aca="false">MAX(1,ROUND(0.3*Inputs!$B$4*Inputs!$B$5^(B251-1)*INDEX(Inputs!$C$15:$C$23,MATCH("matching",Inputs!$A$15:$A$23,0))*Inputs!$B$7*Inputs!$B$6^(D251-1)/Inputs!$B$12,0))</f>
        <v>27</v>
      </c>
      <c r="M251" s="6" t="s">
        <v>536</v>
      </c>
      <c r="N251" s="6" t="n">
        <v>1</v>
      </c>
      <c r="O251" s="6" t="s">
        <v>513</v>
      </c>
      <c r="P251" s="7"/>
      <c r="Q251" s="6" t="s">
        <v>537</v>
      </c>
      <c r="R251" s="8" t="b">
        <f aca="false">TRUE()</f>
        <v>1</v>
      </c>
      <c r="S251" s="6" t="s">
        <v>93</v>
      </c>
    </row>
    <row r="252" customFormat="false" ht="23.85" hidden="false" customHeight="false" outlineLevel="0" collapsed="false">
      <c r="A252" s="2" t="s">
        <v>510</v>
      </c>
      <c r="B252" s="2" t="n">
        <v>2</v>
      </c>
      <c r="C252" s="2" t="s">
        <v>94</v>
      </c>
      <c r="D252" s="2" t="n">
        <v>1</v>
      </c>
      <c r="E252" s="2" t="s">
        <v>95</v>
      </c>
      <c r="F252" s="2" t="s">
        <v>22</v>
      </c>
      <c r="G252" s="2" t="s">
        <v>225</v>
      </c>
      <c r="H252" s="3" t="s">
        <v>511</v>
      </c>
      <c r="I252" s="2" t="s">
        <v>266</v>
      </c>
      <c r="J252" s="2" t="s">
        <v>267</v>
      </c>
      <c r="K252" s="3" t="s">
        <v>538</v>
      </c>
      <c r="L252" s="2" t="n">
        <f aca="false">MAX(1,ROUND(0.7*Inputs!$B$4*Inputs!$B$5^(B252-1)*INDEX(Inputs!$C$15:$C$23,MATCH("matching",Inputs!$A$15:$A$23,0))*Inputs!$B$7*Inputs!$B$6^(D252-1)/Inputs!$B$12,0))</f>
        <v>20</v>
      </c>
      <c r="M252" s="2"/>
      <c r="N252" s="2"/>
      <c r="O252" s="2" t="s">
        <v>513</v>
      </c>
      <c r="P252" s="3"/>
      <c r="Q252" s="2" t="s">
        <v>514</v>
      </c>
      <c r="R252" s="2" t="n">
        <v>0.25</v>
      </c>
      <c r="S252" s="2" t="s">
        <v>233</v>
      </c>
    </row>
    <row r="253" customFormat="false" ht="15" hidden="false" customHeight="false" outlineLevel="0" collapsed="false">
      <c r="A253" s="2" t="s">
        <v>510</v>
      </c>
      <c r="B253" s="2" t="n">
        <v>2</v>
      </c>
      <c r="C253" s="2" t="s">
        <v>94</v>
      </c>
      <c r="D253" s="2" t="n">
        <v>2</v>
      </c>
      <c r="E253" s="2" t="s">
        <v>99</v>
      </c>
      <c r="F253" s="2" t="s">
        <v>22</v>
      </c>
      <c r="G253" s="2" t="s">
        <v>225</v>
      </c>
      <c r="H253" s="3" t="s">
        <v>515</v>
      </c>
      <c r="I253" s="2" t="s">
        <v>266</v>
      </c>
      <c r="J253" s="2" t="s">
        <v>268</v>
      </c>
      <c r="K253" s="3" t="s">
        <v>538</v>
      </c>
      <c r="L253" s="2" t="n">
        <f aca="false">MAX(1,ROUND(0.7*Inputs!$B$4*Inputs!$B$5^(B253-1)*INDEX(Inputs!$C$15:$C$23,MATCH("matching",Inputs!$A$15:$A$23,0))*Inputs!$B$7*Inputs!$B$6^(D253-1)/Inputs!$B$12,0))</f>
        <v>23</v>
      </c>
      <c r="M253" s="2"/>
      <c r="N253" s="2"/>
      <c r="O253" s="2" t="s">
        <v>513</v>
      </c>
      <c r="P253" s="3"/>
      <c r="Q253" s="2" t="s">
        <v>514</v>
      </c>
      <c r="R253" s="2" t="n">
        <v>0.25</v>
      </c>
      <c r="S253" s="2" t="s">
        <v>267</v>
      </c>
    </row>
    <row r="254" customFormat="false" ht="15" hidden="false" customHeight="false" outlineLevel="0" collapsed="false">
      <c r="A254" s="2" t="s">
        <v>510</v>
      </c>
      <c r="B254" s="2" t="n">
        <v>2</v>
      </c>
      <c r="C254" s="2" t="s">
        <v>94</v>
      </c>
      <c r="D254" s="2" t="n">
        <v>3</v>
      </c>
      <c r="E254" s="2" t="s">
        <v>101</v>
      </c>
      <c r="F254" s="2" t="s">
        <v>22</v>
      </c>
      <c r="G254" s="2" t="s">
        <v>225</v>
      </c>
      <c r="H254" s="3" t="s">
        <v>515</v>
      </c>
      <c r="I254" s="2" t="s">
        <v>266</v>
      </c>
      <c r="J254" s="2" t="s">
        <v>269</v>
      </c>
      <c r="K254" s="3" t="s">
        <v>538</v>
      </c>
      <c r="L254" s="2" t="n">
        <f aca="false">MAX(1,ROUND(0.7*Inputs!$B$4*Inputs!$B$5^(B254-1)*INDEX(Inputs!$C$15:$C$23,MATCH("matching",Inputs!$A$15:$A$23,0))*Inputs!$B$7*Inputs!$B$6^(D254-1)/Inputs!$B$12,0))</f>
        <v>26</v>
      </c>
      <c r="M254" s="2"/>
      <c r="N254" s="2"/>
      <c r="O254" s="2" t="s">
        <v>513</v>
      </c>
      <c r="P254" s="3"/>
      <c r="Q254" s="2" t="s">
        <v>514</v>
      </c>
      <c r="R254" s="2" t="n">
        <v>0.25</v>
      </c>
      <c r="S254" s="2" t="s">
        <v>268</v>
      </c>
    </row>
    <row r="255" customFormat="false" ht="23.85" hidden="false" customHeight="false" outlineLevel="0" collapsed="false">
      <c r="A255" s="2" t="s">
        <v>510</v>
      </c>
      <c r="B255" s="2" t="n">
        <v>2</v>
      </c>
      <c r="C255" s="2" t="s">
        <v>94</v>
      </c>
      <c r="D255" s="2" t="n">
        <v>4</v>
      </c>
      <c r="E255" s="2" t="s">
        <v>103</v>
      </c>
      <c r="F255" s="2" t="s">
        <v>22</v>
      </c>
      <c r="G255" s="2" t="s">
        <v>234</v>
      </c>
      <c r="H255" s="3" t="s">
        <v>516</v>
      </c>
      <c r="I255" s="2" t="s">
        <v>343</v>
      </c>
      <c r="J255" s="2" t="s">
        <v>539</v>
      </c>
      <c r="K255" s="3" t="s">
        <v>538</v>
      </c>
      <c r="L255" s="2" t="n">
        <f aca="false">MAX(1,ROUND(0.7*Inputs!$B$4*Inputs!$B$5^(B255-1)*INDEX(Inputs!$C$15:$C$23,MATCH("matching",Inputs!$A$15:$A$23,0))*Inputs!$B$7*Inputs!$B$6^(D255-1)/Inputs!$B$12,0))</f>
        <v>30</v>
      </c>
      <c r="M255" s="2"/>
      <c r="N255" s="2"/>
      <c r="O255" s="2" t="s">
        <v>513</v>
      </c>
      <c r="P255" s="3"/>
      <c r="Q255" s="2" t="s">
        <v>518</v>
      </c>
      <c r="R255" s="2" t="n">
        <v>0.016667</v>
      </c>
      <c r="S255" s="2" t="s">
        <v>520</v>
      </c>
    </row>
    <row r="256" customFormat="false" ht="15" hidden="false" customHeight="false" outlineLevel="0" collapsed="false">
      <c r="A256" s="2" t="s">
        <v>510</v>
      </c>
      <c r="B256" s="2" t="n">
        <v>2</v>
      </c>
      <c r="C256" s="2" t="s">
        <v>94</v>
      </c>
      <c r="D256" s="2" t="n">
        <v>5</v>
      </c>
      <c r="E256" s="2" t="s">
        <v>105</v>
      </c>
      <c r="F256" s="2" t="s">
        <v>22</v>
      </c>
      <c r="G256" s="2" t="s">
        <v>234</v>
      </c>
      <c r="H256" s="3" t="s">
        <v>519</v>
      </c>
      <c r="I256" s="2" t="s">
        <v>343</v>
      </c>
      <c r="J256" s="2" t="s">
        <v>540</v>
      </c>
      <c r="K256" s="3" t="s">
        <v>538</v>
      </c>
      <c r="L256" s="2" t="n">
        <f aca="false">MAX(1,ROUND(0.7*Inputs!$B$4*Inputs!$B$5^(B256-1)*INDEX(Inputs!$C$15:$C$23,MATCH("matching",Inputs!$A$15:$A$23,0))*Inputs!$B$7*Inputs!$B$6^(D256-1)/Inputs!$B$12,0))</f>
        <v>35</v>
      </c>
      <c r="M256" s="2"/>
      <c r="N256" s="2"/>
      <c r="O256" s="2" t="s">
        <v>513</v>
      </c>
      <c r="P256" s="3"/>
      <c r="Q256" s="2" t="s">
        <v>518</v>
      </c>
      <c r="R256" s="2" t="n">
        <v>0.016667</v>
      </c>
      <c r="S256" s="2" t="s">
        <v>539</v>
      </c>
    </row>
    <row r="257" customFormat="false" ht="23.85" hidden="false" customHeight="false" outlineLevel="0" collapsed="false">
      <c r="A257" s="2" t="s">
        <v>510</v>
      </c>
      <c r="B257" s="2" t="n">
        <v>2</v>
      </c>
      <c r="C257" s="2" t="s">
        <v>94</v>
      </c>
      <c r="D257" s="2" t="n">
        <v>6</v>
      </c>
      <c r="E257" s="2" t="s">
        <v>107</v>
      </c>
      <c r="F257" s="2" t="s">
        <v>22</v>
      </c>
      <c r="G257" s="2" t="s">
        <v>436</v>
      </c>
      <c r="H257" s="3" t="s">
        <v>521</v>
      </c>
      <c r="I257" s="2" t="s">
        <v>343</v>
      </c>
      <c r="J257" s="2" t="s">
        <v>541</v>
      </c>
      <c r="K257" s="3" t="s">
        <v>538</v>
      </c>
      <c r="L257" s="2" t="n">
        <f aca="false">MAX(1,ROUND(0.7*Inputs!$B$4*Inputs!$B$5^(B257-1)*INDEX(Inputs!$C$15:$C$23,MATCH("matching",Inputs!$A$15:$A$23,0))*Inputs!$B$7*Inputs!$B$6^(D257-1)/Inputs!$B$12,0))</f>
        <v>40</v>
      </c>
      <c r="M257" s="2"/>
      <c r="N257" s="2"/>
      <c r="O257" s="2" t="s">
        <v>513</v>
      </c>
      <c r="P257" s="3"/>
      <c r="Q257" s="2" t="s">
        <v>523</v>
      </c>
      <c r="R257" s="2" t="n">
        <v>0.016667</v>
      </c>
      <c r="S257" s="2" t="s">
        <v>526</v>
      </c>
    </row>
    <row r="258" customFormat="false" ht="15" hidden="false" customHeight="false" outlineLevel="0" collapsed="false">
      <c r="A258" s="2" t="s">
        <v>510</v>
      </c>
      <c r="B258" s="2" t="n">
        <v>2</v>
      </c>
      <c r="C258" s="2" t="s">
        <v>94</v>
      </c>
      <c r="D258" s="2" t="n">
        <v>7</v>
      </c>
      <c r="E258" s="2" t="s">
        <v>109</v>
      </c>
      <c r="F258" s="2" t="s">
        <v>22</v>
      </c>
      <c r="G258" s="2" t="s">
        <v>436</v>
      </c>
      <c r="H258" s="3" t="s">
        <v>525</v>
      </c>
      <c r="I258" s="2" t="s">
        <v>343</v>
      </c>
      <c r="J258" s="2" t="s">
        <v>542</v>
      </c>
      <c r="K258" s="3" t="s">
        <v>538</v>
      </c>
      <c r="L258" s="2" t="n">
        <f aca="false">MAX(1,ROUND(0.7*Inputs!$B$4*Inputs!$B$5^(B258-1)*INDEX(Inputs!$C$15:$C$23,MATCH("matching",Inputs!$A$15:$A$23,0))*Inputs!$B$7*Inputs!$B$6^(D258-1)/Inputs!$B$12,0))</f>
        <v>46</v>
      </c>
      <c r="M258" s="2"/>
      <c r="N258" s="2"/>
      <c r="O258" s="2" t="s">
        <v>513</v>
      </c>
      <c r="P258" s="3"/>
      <c r="Q258" s="2" t="s">
        <v>523</v>
      </c>
      <c r="R258" s="2" t="n">
        <v>0.016667</v>
      </c>
      <c r="S258" s="2" t="s">
        <v>541</v>
      </c>
    </row>
    <row r="259" customFormat="false" ht="15" hidden="false" customHeight="false" outlineLevel="0" collapsed="false">
      <c r="A259" s="4" t="s">
        <v>510</v>
      </c>
      <c r="B259" s="4" t="n">
        <v>2</v>
      </c>
      <c r="C259" s="4" t="s">
        <v>94</v>
      </c>
      <c r="D259" s="4" t="n">
        <v>8</v>
      </c>
      <c r="E259" s="4" t="s">
        <v>111</v>
      </c>
      <c r="F259" s="4" t="s">
        <v>72</v>
      </c>
      <c r="G259" s="4" t="s">
        <v>527</v>
      </c>
      <c r="H259" s="5" t="s">
        <v>528</v>
      </c>
      <c r="I259" s="4" t="s">
        <v>363</v>
      </c>
      <c r="J259" s="4" t="s">
        <v>275</v>
      </c>
      <c r="K259" s="5" t="s">
        <v>538</v>
      </c>
      <c r="L259" s="4" t="n">
        <f aca="false">MAX(1,ROUND(0.7*Inputs!$B$4*Inputs!$B$5^(B259-1)*INDEX(Inputs!$C$15:$C$23,MATCH("matching",Inputs!$A$15:$A$23,0))*Inputs!$B$7*Inputs!$B$6^(D259-1)/Inputs!$B$12,0))</f>
        <v>53</v>
      </c>
      <c r="M259" s="4"/>
      <c r="N259" s="4"/>
      <c r="O259" s="4" t="s">
        <v>513</v>
      </c>
      <c r="P259" s="5"/>
      <c r="Q259" s="4" t="s">
        <v>529</v>
      </c>
      <c r="R259" s="4" t="n">
        <v>0.1</v>
      </c>
      <c r="S259" s="4" t="s">
        <v>259</v>
      </c>
    </row>
    <row r="260" customFormat="false" ht="23.85" hidden="false" customHeight="false" outlineLevel="0" collapsed="false">
      <c r="A260" s="4" t="s">
        <v>510</v>
      </c>
      <c r="B260" s="4" t="n">
        <v>2</v>
      </c>
      <c r="C260" s="4" t="s">
        <v>94</v>
      </c>
      <c r="D260" s="4" t="n">
        <v>9</v>
      </c>
      <c r="E260" s="4" t="s">
        <v>113</v>
      </c>
      <c r="F260" s="4" t="s">
        <v>72</v>
      </c>
      <c r="G260" s="4" t="s">
        <v>530</v>
      </c>
      <c r="H260" s="5" t="s">
        <v>531</v>
      </c>
      <c r="I260" s="4" t="s">
        <v>532</v>
      </c>
      <c r="J260" s="4" t="s">
        <v>543</v>
      </c>
      <c r="K260" s="5" t="s">
        <v>538</v>
      </c>
      <c r="L260" s="4" t="n">
        <f aca="false">MAX(1,ROUND(0.7*Inputs!$B$4*Inputs!$B$5^(B260-1)*INDEX(Inputs!$C$15:$C$23,MATCH("matching",Inputs!$A$15:$A$23,0))*Inputs!$B$7*Inputs!$B$6^(D260-1)/Inputs!$B$12,0))</f>
        <v>61</v>
      </c>
      <c r="M260" s="4"/>
      <c r="N260" s="4"/>
      <c r="O260" s="4" t="s">
        <v>513</v>
      </c>
      <c r="P260" s="5"/>
      <c r="Q260" s="4" t="s">
        <v>534</v>
      </c>
      <c r="R260" s="4" t="n">
        <v>0.05</v>
      </c>
      <c r="S260" s="4" t="s">
        <v>533</v>
      </c>
    </row>
    <row r="261" customFormat="false" ht="15" hidden="false" customHeight="false" outlineLevel="0" collapsed="false">
      <c r="A261" s="6" t="s">
        <v>510</v>
      </c>
      <c r="B261" s="6" t="n">
        <v>2</v>
      </c>
      <c r="C261" s="6" t="s">
        <v>94</v>
      </c>
      <c r="D261" s="6" t="n">
        <v>10</v>
      </c>
      <c r="E261" s="6" t="s">
        <v>115</v>
      </c>
      <c r="F261" s="6" t="s">
        <v>87</v>
      </c>
      <c r="G261" s="6" t="s">
        <v>544</v>
      </c>
      <c r="H261" s="7" t="s">
        <v>545</v>
      </c>
      <c r="I261" s="6" t="s">
        <v>90</v>
      </c>
      <c r="J261" s="6"/>
      <c r="K261" s="7" t="s">
        <v>538</v>
      </c>
      <c r="L261" s="6" t="n">
        <f aca="false">MAX(1,ROUND(0.7*Inputs!$B$4*Inputs!$B$5^(B261-1)*INDEX(Inputs!$C$15:$C$23,MATCH("matching",Inputs!$A$15:$A$23,0))*Inputs!$B$7*Inputs!$B$6^(D261-1)/Inputs!$B$12,0))</f>
        <v>70</v>
      </c>
      <c r="M261" s="6" t="s">
        <v>546</v>
      </c>
      <c r="N261" s="6" t="n">
        <v>1</v>
      </c>
      <c r="O261" s="6" t="s">
        <v>513</v>
      </c>
      <c r="P261" s="7"/>
      <c r="Q261" s="6" t="s">
        <v>547</v>
      </c>
      <c r="R261" s="8" t="b">
        <f aca="false">TRUE()</f>
        <v>1</v>
      </c>
      <c r="S261" s="6" t="s">
        <v>93</v>
      </c>
    </row>
    <row r="262" customFormat="false" ht="23.85" hidden="false" customHeight="false" outlineLevel="0" collapsed="false">
      <c r="A262" s="2" t="s">
        <v>510</v>
      </c>
      <c r="B262" s="2" t="n">
        <v>3</v>
      </c>
      <c r="C262" s="2" t="s">
        <v>120</v>
      </c>
      <c r="D262" s="2" t="n">
        <v>1</v>
      </c>
      <c r="E262" s="2" t="s">
        <v>121</v>
      </c>
      <c r="F262" s="2" t="s">
        <v>22</v>
      </c>
      <c r="G262" s="2" t="s">
        <v>225</v>
      </c>
      <c r="H262" s="3" t="s">
        <v>511</v>
      </c>
      <c r="I262" s="2" t="s">
        <v>280</v>
      </c>
      <c r="J262" s="2" t="s">
        <v>281</v>
      </c>
      <c r="K262" s="3" t="s">
        <v>548</v>
      </c>
      <c r="L262" s="2" t="n">
        <f aca="false">MAX(1,ROUND(0.85*Inputs!$B$4*Inputs!$B$5^(B262-1)*INDEX(Inputs!$C$15:$C$23,MATCH("matching",Inputs!$A$15:$A$23,0))*Inputs!$B$7*Inputs!$B$6^(D262-1)/Inputs!$B$12,0))</f>
        <v>27</v>
      </c>
      <c r="M262" s="2"/>
      <c r="N262" s="2"/>
      <c r="O262" s="2" t="s">
        <v>513</v>
      </c>
      <c r="P262" s="3"/>
      <c r="Q262" s="2" t="s">
        <v>514</v>
      </c>
      <c r="R262" s="2" t="n">
        <v>0.375</v>
      </c>
      <c r="S262" s="2" t="s">
        <v>269</v>
      </c>
    </row>
    <row r="263" customFormat="false" ht="15" hidden="false" customHeight="false" outlineLevel="0" collapsed="false">
      <c r="A263" s="2" t="s">
        <v>510</v>
      </c>
      <c r="B263" s="2" t="n">
        <v>3</v>
      </c>
      <c r="C263" s="2" t="s">
        <v>120</v>
      </c>
      <c r="D263" s="2" t="n">
        <v>2</v>
      </c>
      <c r="E263" s="2" t="s">
        <v>125</v>
      </c>
      <c r="F263" s="2" t="s">
        <v>22</v>
      </c>
      <c r="G263" s="2" t="s">
        <v>225</v>
      </c>
      <c r="H263" s="3" t="s">
        <v>515</v>
      </c>
      <c r="I263" s="2" t="s">
        <v>280</v>
      </c>
      <c r="J263" s="2" t="s">
        <v>282</v>
      </c>
      <c r="K263" s="3" t="s">
        <v>548</v>
      </c>
      <c r="L263" s="2" t="n">
        <f aca="false">MAX(1,ROUND(0.85*Inputs!$B$4*Inputs!$B$5^(B263-1)*INDEX(Inputs!$C$15:$C$23,MATCH("matching",Inputs!$A$15:$A$23,0))*Inputs!$B$7*Inputs!$B$6^(D263-1)/Inputs!$B$12,0))</f>
        <v>31</v>
      </c>
      <c r="M263" s="2"/>
      <c r="N263" s="2"/>
      <c r="O263" s="2" t="s">
        <v>513</v>
      </c>
      <c r="P263" s="3"/>
      <c r="Q263" s="2" t="s">
        <v>514</v>
      </c>
      <c r="R263" s="2" t="n">
        <v>0.375</v>
      </c>
      <c r="S263" s="2" t="s">
        <v>281</v>
      </c>
    </row>
    <row r="264" customFormat="false" ht="15" hidden="false" customHeight="false" outlineLevel="0" collapsed="false">
      <c r="A264" s="2" t="s">
        <v>510</v>
      </c>
      <c r="B264" s="2" t="n">
        <v>3</v>
      </c>
      <c r="C264" s="2" t="s">
        <v>120</v>
      </c>
      <c r="D264" s="2" t="n">
        <v>3</v>
      </c>
      <c r="E264" s="2" t="s">
        <v>127</v>
      </c>
      <c r="F264" s="2" t="s">
        <v>22</v>
      </c>
      <c r="G264" s="2" t="s">
        <v>225</v>
      </c>
      <c r="H264" s="3" t="s">
        <v>515</v>
      </c>
      <c r="I264" s="2" t="s">
        <v>280</v>
      </c>
      <c r="J264" s="2" t="s">
        <v>283</v>
      </c>
      <c r="K264" s="3" t="s">
        <v>548</v>
      </c>
      <c r="L264" s="2" t="n">
        <f aca="false">MAX(1,ROUND(0.85*Inputs!$B$4*Inputs!$B$5^(B264-1)*INDEX(Inputs!$C$15:$C$23,MATCH("matching",Inputs!$A$15:$A$23,0))*Inputs!$B$7*Inputs!$B$6^(D264-1)/Inputs!$B$12,0))</f>
        <v>35</v>
      </c>
      <c r="M264" s="2"/>
      <c r="N264" s="2"/>
      <c r="O264" s="2" t="s">
        <v>513</v>
      </c>
      <c r="P264" s="3"/>
      <c r="Q264" s="2" t="s">
        <v>514</v>
      </c>
      <c r="R264" s="2" t="n">
        <v>0.375</v>
      </c>
      <c r="S264" s="2" t="s">
        <v>282</v>
      </c>
    </row>
    <row r="265" customFormat="false" ht="23.85" hidden="false" customHeight="false" outlineLevel="0" collapsed="false">
      <c r="A265" s="2" t="s">
        <v>510</v>
      </c>
      <c r="B265" s="2" t="n">
        <v>3</v>
      </c>
      <c r="C265" s="2" t="s">
        <v>120</v>
      </c>
      <c r="D265" s="2" t="n">
        <v>4</v>
      </c>
      <c r="E265" s="2" t="s">
        <v>129</v>
      </c>
      <c r="F265" s="2" t="s">
        <v>22</v>
      </c>
      <c r="G265" s="2" t="s">
        <v>234</v>
      </c>
      <c r="H265" s="3" t="s">
        <v>516</v>
      </c>
      <c r="I265" s="2" t="s">
        <v>343</v>
      </c>
      <c r="J265" s="2" t="s">
        <v>237</v>
      </c>
      <c r="K265" s="3" t="s">
        <v>548</v>
      </c>
      <c r="L265" s="2" t="n">
        <f aca="false">MAX(1,ROUND(0.85*Inputs!$B$4*Inputs!$B$5^(B265-1)*INDEX(Inputs!$C$15:$C$23,MATCH("matching",Inputs!$A$15:$A$23,0))*Inputs!$B$7*Inputs!$B$6^(D265-1)/Inputs!$B$12,0))</f>
        <v>40</v>
      </c>
      <c r="M265" s="2"/>
      <c r="N265" s="2"/>
      <c r="O265" s="2" t="s">
        <v>513</v>
      </c>
      <c r="P265" s="3"/>
      <c r="Q265" s="2" t="s">
        <v>518</v>
      </c>
      <c r="R265" s="2" t="n">
        <v>0.016667</v>
      </c>
      <c r="S265" s="2" t="s">
        <v>540</v>
      </c>
    </row>
    <row r="266" customFormat="false" ht="15" hidden="false" customHeight="false" outlineLevel="0" collapsed="false">
      <c r="A266" s="2" t="s">
        <v>510</v>
      </c>
      <c r="B266" s="2" t="n">
        <v>3</v>
      </c>
      <c r="C266" s="2" t="s">
        <v>120</v>
      </c>
      <c r="D266" s="2" t="n">
        <v>5</v>
      </c>
      <c r="E266" s="2" t="s">
        <v>131</v>
      </c>
      <c r="F266" s="2" t="s">
        <v>22</v>
      </c>
      <c r="G266" s="2" t="s">
        <v>234</v>
      </c>
      <c r="H266" s="3" t="s">
        <v>519</v>
      </c>
      <c r="I266" s="2" t="s">
        <v>343</v>
      </c>
      <c r="J266" s="2" t="s">
        <v>549</v>
      </c>
      <c r="K266" s="3" t="s">
        <v>548</v>
      </c>
      <c r="L266" s="2" t="n">
        <f aca="false">MAX(1,ROUND(0.85*Inputs!$B$4*Inputs!$B$5^(B266-1)*INDEX(Inputs!$C$15:$C$23,MATCH("matching",Inputs!$A$15:$A$23,0))*Inputs!$B$7*Inputs!$B$6^(D266-1)/Inputs!$B$12,0))</f>
        <v>47</v>
      </c>
      <c r="M266" s="2"/>
      <c r="N266" s="2"/>
      <c r="O266" s="2" t="s">
        <v>513</v>
      </c>
      <c r="P266" s="3"/>
      <c r="Q266" s="2" t="s">
        <v>518</v>
      </c>
      <c r="R266" s="2" t="n">
        <v>0.016667</v>
      </c>
      <c r="S266" s="2" t="s">
        <v>237</v>
      </c>
    </row>
    <row r="267" customFormat="false" ht="23.85" hidden="false" customHeight="false" outlineLevel="0" collapsed="false">
      <c r="A267" s="2" t="s">
        <v>510</v>
      </c>
      <c r="B267" s="2" t="n">
        <v>3</v>
      </c>
      <c r="C267" s="2" t="s">
        <v>120</v>
      </c>
      <c r="D267" s="2" t="n">
        <v>6</v>
      </c>
      <c r="E267" s="2" t="s">
        <v>133</v>
      </c>
      <c r="F267" s="2" t="s">
        <v>22</v>
      </c>
      <c r="G267" s="2" t="s">
        <v>436</v>
      </c>
      <c r="H267" s="3" t="s">
        <v>521</v>
      </c>
      <c r="I267" s="2" t="s">
        <v>343</v>
      </c>
      <c r="J267" s="2" t="s">
        <v>550</v>
      </c>
      <c r="K267" s="3" t="s">
        <v>548</v>
      </c>
      <c r="L267" s="2" t="n">
        <f aca="false">MAX(1,ROUND(0.85*Inputs!$B$4*Inputs!$B$5^(B267-1)*INDEX(Inputs!$C$15:$C$23,MATCH("matching",Inputs!$A$15:$A$23,0))*Inputs!$B$7*Inputs!$B$6^(D267-1)/Inputs!$B$12,0))</f>
        <v>53</v>
      </c>
      <c r="M267" s="2"/>
      <c r="N267" s="2"/>
      <c r="O267" s="2" t="s">
        <v>513</v>
      </c>
      <c r="P267" s="3"/>
      <c r="Q267" s="2" t="s">
        <v>523</v>
      </c>
      <c r="R267" s="2" t="n">
        <v>0.016667</v>
      </c>
      <c r="S267" s="2" t="s">
        <v>542</v>
      </c>
    </row>
    <row r="268" customFormat="false" ht="15" hidden="false" customHeight="false" outlineLevel="0" collapsed="false">
      <c r="A268" s="2" t="s">
        <v>510</v>
      </c>
      <c r="B268" s="2" t="n">
        <v>3</v>
      </c>
      <c r="C268" s="2" t="s">
        <v>120</v>
      </c>
      <c r="D268" s="2" t="n">
        <v>7</v>
      </c>
      <c r="E268" s="2" t="s">
        <v>135</v>
      </c>
      <c r="F268" s="2" t="s">
        <v>22</v>
      </c>
      <c r="G268" s="2" t="s">
        <v>436</v>
      </c>
      <c r="H268" s="3" t="s">
        <v>525</v>
      </c>
      <c r="I268" s="2" t="s">
        <v>343</v>
      </c>
      <c r="J268" s="2" t="s">
        <v>551</v>
      </c>
      <c r="K268" s="3" t="s">
        <v>548</v>
      </c>
      <c r="L268" s="2" t="n">
        <f aca="false">MAX(1,ROUND(0.85*Inputs!$B$4*Inputs!$B$5^(B268-1)*INDEX(Inputs!$C$15:$C$23,MATCH("matching",Inputs!$A$15:$A$23,0))*Inputs!$B$7*Inputs!$B$6^(D268-1)/Inputs!$B$12,0))</f>
        <v>62</v>
      </c>
      <c r="M268" s="2"/>
      <c r="N268" s="2"/>
      <c r="O268" s="2" t="s">
        <v>513</v>
      </c>
      <c r="P268" s="3"/>
      <c r="Q268" s="2" t="s">
        <v>523</v>
      </c>
      <c r="R268" s="2" t="n">
        <v>0.016667</v>
      </c>
      <c r="S268" s="2" t="s">
        <v>550</v>
      </c>
    </row>
    <row r="269" customFormat="false" ht="15" hidden="false" customHeight="false" outlineLevel="0" collapsed="false">
      <c r="A269" s="4" t="s">
        <v>510</v>
      </c>
      <c r="B269" s="4" t="n">
        <v>3</v>
      </c>
      <c r="C269" s="4" t="s">
        <v>120</v>
      </c>
      <c r="D269" s="4" t="n">
        <v>8</v>
      </c>
      <c r="E269" s="4" t="s">
        <v>137</v>
      </c>
      <c r="F269" s="4" t="s">
        <v>72</v>
      </c>
      <c r="G269" s="4" t="s">
        <v>527</v>
      </c>
      <c r="H269" s="5" t="s">
        <v>528</v>
      </c>
      <c r="I269" s="4" t="s">
        <v>363</v>
      </c>
      <c r="J269" s="4" t="s">
        <v>289</v>
      </c>
      <c r="K269" s="5" t="s">
        <v>548</v>
      </c>
      <c r="L269" s="4" t="n">
        <f aca="false">MAX(1,ROUND(0.85*Inputs!$B$4*Inputs!$B$5^(B269-1)*INDEX(Inputs!$C$15:$C$23,MATCH("matching",Inputs!$A$15:$A$23,0))*Inputs!$B$7*Inputs!$B$6^(D269-1)/Inputs!$B$12,0))</f>
        <v>71</v>
      </c>
      <c r="M269" s="4"/>
      <c r="N269" s="4"/>
      <c r="O269" s="4" t="s">
        <v>513</v>
      </c>
      <c r="P269" s="5"/>
      <c r="Q269" s="4" t="s">
        <v>529</v>
      </c>
      <c r="R269" s="4" t="n">
        <v>0.1</v>
      </c>
      <c r="S269" s="4" t="s">
        <v>275</v>
      </c>
    </row>
    <row r="270" customFormat="false" ht="23.85" hidden="false" customHeight="false" outlineLevel="0" collapsed="false">
      <c r="A270" s="4" t="s">
        <v>510</v>
      </c>
      <c r="B270" s="4" t="n">
        <v>3</v>
      </c>
      <c r="C270" s="4" t="s">
        <v>120</v>
      </c>
      <c r="D270" s="4" t="n">
        <v>9</v>
      </c>
      <c r="E270" s="4" t="s">
        <v>139</v>
      </c>
      <c r="F270" s="4" t="s">
        <v>72</v>
      </c>
      <c r="G270" s="4" t="s">
        <v>530</v>
      </c>
      <c r="H270" s="5" t="s">
        <v>531</v>
      </c>
      <c r="I270" s="4" t="s">
        <v>532</v>
      </c>
      <c r="J270" s="4" t="s">
        <v>552</v>
      </c>
      <c r="K270" s="5" t="s">
        <v>548</v>
      </c>
      <c r="L270" s="4" t="n">
        <f aca="false">MAX(1,ROUND(0.85*Inputs!$B$4*Inputs!$B$5^(B270-1)*INDEX(Inputs!$C$15:$C$23,MATCH("matching",Inputs!$A$15:$A$23,0))*Inputs!$B$7*Inputs!$B$6^(D270-1)/Inputs!$B$12,0))</f>
        <v>81</v>
      </c>
      <c r="M270" s="4"/>
      <c r="N270" s="4"/>
      <c r="O270" s="4" t="s">
        <v>513</v>
      </c>
      <c r="P270" s="5"/>
      <c r="Q270" s="4" t="s">
        <v>534</v>
      </c>
      <c r="R270" s="4" t="n">
        <v>0.05</v>
      </c>
      <c r="S270" s="4" t="s">
        <v>543</v>
      </c>
    </row>
    <row r="271" customFormat="false" ht="35.05" hidden="false" customHeight="false" outlineLevel="0" collapsed="false">
      <c r="A271" s="6" t="s">
        <v>510</v>
      </c>
      <c r="B271" s="6" t="n">
        <v>3</v>
      </c>
      <c r="C271" s="6" t="s">
        <v>120</v>
      </c>
      <c r="D271" s="6" t="n">
        <v>10</v>
      </c>
      <c r="E271" s="6" t="s">
        <v>141</v>
      </c>
      <c r="F271" s="6" t="s">
        <v>87</v>
      </c>
      <c r="G271" s="6" t="s">
        <v>553</v>
      </c>
      <c r="H271" s="7" t="s">
        <v>554</v>
      </c>
      <c r="I271" s="6" t="s">
        <v>90</v>
      </c>
      <c r="J271" s="6"/>
      <c r="K271" s="7" t="s">
        <v>548</v>
      </c>
      <c r="L271" s="6" t="n">
        <f aca="false">MAX(1,ROUND(0.85*Inputs!$B$4*Inputs!$B$5^(B271-1)*INDEX(Inputs!$C$15:$C$23,MATCH("matching",Inputs!$A$15:$A$23,0))*Inputs!$B$7*Inputs!$B$6^(D271-1)/Inputs!$B$12,0))</f>
        <v>94</v>
      </c>
      <c r="M271" s="6" t="s">
        <v>555</v>
      </c>
      <c r="N271" s="6" t="n">
        <v>2</v>
      </c>
      <c r="O271" s="6" t="s">
        <v>513</v>
      </c>
      <c r="P271" s="7"/>
      <c r="Q271" s="6" t="s">
        <v>556</v>
      </c>
      <c r="R271" s="8" t="b">
        <f aca="false">TRUE()</f>
        <v>1</v>
      </c>
      <c r="S271" s="6" t="s">
        <v>93</v>
      </c>
    </row>
    <row r="272" customFormat="false" ht="23.85" hidden="false" customHeight="false" outlineLevel="0" collapsed="false">
      <c r="A272" s="2" t="s">
        <v>510</v>
      </c>
      <c r="B272" s="2" t="n">
        <v>4</v>
      </c>
      <c r="C272" s="2" t="s">
        <v>146</v>
      </c>
      <c r="D272" s="2" t="n">
        <v>1</v>
      </c>
      <c r="E272" s="2" t="s">
        <v>147</v>
      </c>
      <c r="F272" s="2" t="s">
        <v>22</v>
      </c>
      <c r="G272" s="2" t="s">
        <v>225</v>
      </c>
      <c r="H272" s="3" t="s">
        <v>511</v>
      </c>
      <c r="I272" s="2" t="s">
        <v>294</v>
      </c>
      <c r="J272" s="2" t="s">
        <v>295</v>
      </c>
      <c r="K272" s="3" t="s">
        <v>557</v>
      </c>
      <c r="L272" s="2" t="n">
        <f aca="false">MAX(1,ROUND(0.75*Inputs!$B$4*Inputs!$B$5^(B272-1)*INDEX(Inputs!$C$15:$C$23,MATCH("matching",Inputs!$A$15:$A$23,0))*Inputs!$B$7*Inputs!$B$6^(D272-1)/Inputs!$B$12,0))</f>
        <v>26</v>
      </c>
      <c r="M272" s="2"/>
      <c r="N272" s="2"/>
      <c r="O272" s="2" t="s">
        <v>513</v>
      </c>
      <c r="P272" s="3"/>
      <c r="Q272" s="2" t="s">
        <v>514</v>
      </c>
      <c r="R272" s="2" t="n">
        <v>0.5625</v>
      </c>
      <c r="S272" s="2" t="s">
        <v>283</v>
      </c>
    </row>
    <row r="273" customFormat="false" ht="15" hidden="false" customHeight="false" outlineLevel="0" collapsed="false">
      <c r="A273" s="2" t="s">
        <v>510</v>
      </c>
      <c r="B273" s="2" t="n">
        <v>4</v>
      </c>
      <c r="C273" s="2" t="s">
        <v>146</v>
      </c>
      <c r="D273" s="2" t="n">
        <v>2</v>
      </c>
      <c r="E273" s="2" t="s">
        <v>151</v>
      </c>
      <c r="F273" s="2" t="s">
        <v>22</v>
      </c>
      <c r="G273" s="2" t="s">
        <v>225</v>
      </c>
      <c r="H273" s="3" t="s">
        <v>515</v>
      </c>
      <c r="I273" s="2" t="s">
        <v>294</v>
      </c>
      <c r="J273" s="2" t="s">
        <v>296</v>
      </c>
      <c r="K273" s="3" t="s">
        <v>557</v>
      </c>
      <c r="L273" s="2" t="n">
        <f aca="false">MAX(1,ROUND(0.75*Inputs!$B$4*Inputs!$B$5^(B273-1)*INDEX(Inputs!$C$15:$C$23,MATCH("matching",Inputs!$A$15:$A$23,0))*Inputs!$B$7*Inputs!$B$6^(D273-1)/Inputs!$B$12,0))</f>
        <v>30</v>
      </c>
      <c r="M273" s="2"/>
      <c r="N273" s="2"/>
      <c r="O273" s="2" t="s">
        <v>513</v>
      </c>
      <c r="P273" s="3"/>
      <c r="Q273" s="2" t="s">
        <v>514</v>
      </c>
      <c r="R273" s="2" t="n">
        <v>0.5625</v>
      </c>
      <c r="S273" s="2" t="s">
        <v>295</v>
      </c>
    </row>
    <row r="274" customFormat="false" ht="15" hidden="false" customHeight="false" outlineLevel="0" collapsed="false">
      <c r="A274" s="2" t="s">
        <v>510</v>
      </c>
      <c r="B274" s="2" t="n">
        <v>4</v>
      </c>
      <c r="C274" s="2" t="s">
        <v>146</v>
      </c>
      <c r="D274" s="2" t="n">
        <v>3</v>
      </c>
      <c r="E274" s="2" t="s">
        <v>153</v>
      </c>
      <c r="F274" s="2" t="s">
        <v>22</v>
      </c>
      <c r="G274" s="2" t="s">
        <v>225</v>
      </c>
      <c r="H274" s="3" t="s">
        <v>515</v>
      </c>
      <c r="I274" s="2" t="s">
        <v>294</v>
      </c>
      <c r="J274" s="2" t="s">
        <v>297</v>
      </c>
      <c r="K274" s="3" t="s">
        <v>557</v>
      </c>
      <c r="L274" s="2" t="n">
        <f aca="false">MAX(1,ROUND(0.75*Inputs!$B$4*Inputs!$B$5^(B274-1)*INDEX(Inputs!$C$15:$C$23,MATCH("matching",Inputs!$A$15:$A$23,0))*Inputs!$B$7*Inputs!$B$6^(D274-1)/Inputs!$B$12,0))</f>
        <v>34</v>
      </c>
      <c r="M274" s="2"/>
      <c r="N274" s="2"/>
      <c r="O274" s="2" t="s">
        <v>513</v>
      </c>
      <c r="P274" s="3"/>
      <c r="Q274" s="2" t="s">
        <v>514</v>
      </c>
      <c r="R274" s="2" t="n">
        <v>0.5625</v>
      </c>
      <c r="S274" s="2" t="s">
        <v>296</v>
      </c>
    </row>
    <row r="275" customFormat="false" ht="23.85" hidden="false" customHeight="false" outlineLevel="0" collapsed="false">
      <c r="A275" s="2" t="s">
        <v>510</v>
      </c>
      <c r="B275" s="2" t="n">
        <v>4</v>
      </c>
      <c r="C275" s="2" t="s">
        <v>146</v>
      </c>
      <c r="D275" s="2" t="n">
        <v>4</v>
      </c>
      <c r="E275" s="2" t="s">
        <v>155</v>
      </c>
      <c r="F275" s="2" t="s">
        <v>22</v>
      </c>
      <c r="G275" s="2" t="s">
        <v>234</v>
      </c>
      <c r="H275" s="3" t="s">
        <v>516</v>
      </c>
      <c r="I275" s="2" t="s">
        <v>343</v>
      </c>
      <c r="J275" s="2" t="s">
        <v>558</v>
      </c>
      <c r="K275" s="3" t="s">
        <v>557</v>
      </c>
      <c r="L275" s="2" t="n">
        <f aca="false">MAX(1,ROUND(0.75*Inputs!$B$4*Inputs!$B$5^(B275-1)*INDEX(Inputs!$C$15:$C$23,MATCH("matching",Inputs!$A$15:$A$23,0))*Inputs!$B$7*Inputs!$B$6^(D275-1)/Inputs!$B$12,0))</f>
        <v>39</v>
      </c>
      <c r="M275" s="2"/>
      <c r="N275" s="2"/>
      <c r="O275" s="2" t="s">
        <v>513</v>
      </c>
      <c r="P275" s="3"/>
      <c r="Q275" s="2" t="s">
        <v>518</v>
      </c>
      <c r="R275" s="2" t="n">
        <v>0.016667</v>
      </c>
      <c r="S275" s="2" t="s">
        <v>549</v>
      </c>
    </row>
    <row r="276" customFormat="false" ht="15" hidden="false" customHeight="false" outlineLevel="0" collapsed="false">
      <c r="A276" s="2" t="s">
        <v>510</v>
      </c>
      <c r="B276" s="2" t="n">
        <v>4</v>
      </c>
      <c r="C276" s="2" t="s">
        <v>146</v>
      </c>
      <c r="D276" s="2" t="n">
        <v>5</v>
      </c>
      <c r="E276" s="2" t="s">
        <v>157</v>
      </c>
      <c r="F276" s="2" t="s">
        <v>22</v>
      </c>
      <c r="G276" s="2" t="s">
        <v>234</v>
      </c>
      <c r="H276" s="3" t="s">
        <v>519</v>
      </c>
      <c r="I276" s="2" t="s">
        <v>343</v>
      </c>
      <c r="J276" s="2" t="s">
        <v>559</v>
      </c>
      <c r="K276" s="3" t="s">
        <v>557</v>
      </c>
      <c r="L276" s="2" t="n">
        <f aca="false">MAX(1,ROUND(0.75*Inputs!$B$4*Inputs!$B$5^(B276-1)*INDEX(Inputs!$C$15:$C$23,MATCH("matching",Inputs!$A$15:$A$23,0))*Inputs!$B$7*Inputs!$B$6^(D276-1)/Inputs!$B$12,0))</f>
        <v>45</v>
      </c>
      <c r="M276" s="2"/>
      <c r="N276" s="2"/>
      <c r="O276" s="2" t="s">
        <v>513</v>
      </c>
      <c r="P276" s="3"/>
      <c r="Q276" s="2" t="s">
        <v>518</v>
      </c>
      <c r="R276" s="2" t="n">
        <v>0.016667</v>
      </c>
      <c r="S276" s="2" t="s">
        <v>558</v>
      </c>
    </row>
    <row r="277" customFormat="false" ht="23.85" hidden="false" customHeight="false" outlineLevel="0" collapsed="false">
      <c r="A277" s="2" t="s">
        <v>510</v>
      </c>
      <c r="B277" s="2" t="n">
        <v>4</v>
      </c>
      <c r="C277" s="2" t="s">
        <v>146</v>
      </c>
      <c r="D277" s="2" t="n">
        <v>6</v>
      </c>
      <c r="E277" s="2" t="s">
        <v>159</v>
      </c>
      <c r="F277" s="2" t="s">
        <v>22</v>
      </c>
      <c r="G277" s="2" t="s">
        <v>436</v>
      </c>
      <c r="H277" s="3" t="s">
        <v>521</v>
      </c>
      <c r="I277" s="2" t="s">
        <v>343</v>
      </c>
      <c r="J277" s="2" t="s">
        <v>560</v>
      </c>
      <c r="K277" s="3" t="s">
        <v>557</v>
      </c>
      <c r="L277" s="2" t="n">
        <f aca="false">MAX(1,ROUND(0.75*Inputs!$B$4*Inputs!$B$5^(B277-1)*INDEX(Inputs!$C$15:$C$23,MATCH("matching",Inputs!$A$15:$A$23,0))*Inputs!$B$7*Inputs!$B$6^(D277-1)/Inputs!$B$12,0))</f>
        <v>52</v>
      </c>
      <c r="M277" s="2"/>
      <c r="N277" s="2"/>
      <c r="O277" s="2" t="s">
        <v>513</v>
      </c>
      <c r="P277" s="3"/>
      <c r="Q277" s="2" t="s">
        <v>523</v>
      </c>
      <c r="R277" s="2" t="n">
        <v>0.016667</v>
      </c>
      <c r="S277" s="2" t="s">
        <v>551</v>
      </c>
    </row>
    <row r="278" customFormat="false" ht="15" hidden="false" customHeight="false" outlineLevel="0" collapsed="false">
      <c r="A278" s="2" t="s">
        <v>510</v>
      </c>
      <c r="B278" s="2" t="n">
        <v>4</v>
      </c>
      <c r="C278" s="2" t="s">
        <v>146</v>
      </c>
      <c r="D278" s="2" t="n">
        <v>7</v>
      </c>
      <c r="E278" s="2" t="s">
        <v>161</v>
      </c>
      <c r="F278" s="2" t="s">
        <v>22</v>
      </c>
      <c r="G278" s="2" t="s">
        <v>436</v>
      </c>
      <c r="H278" s="3" t="s">
        <v>525</v>
      </c>
      <c r="I278" s="2" t="s">
        <v>343</v>
      </c>
      <c r="J278" s="2" t="s">
        <v>561</v>
      </c>
      <c r="K278" s="3" t="s">
        <v>557</v>
      </c>
      <c r="L278" s="2" t="n">
        <f aca="false">MAX(1,ROUND(0.75*Inputs!$B$4*Inputs!$B$5^(B278-1)*INDEX(Inputs!$C$15:$C$23,MATCH("matching",Inputs!$A$15:$A$23,0))*Inputs!$B$7*Inputs!$B$6^(D278-1)/Inputs!$B$12,0))</f>
        <v>60</v>
      </c>
      <c r="M278" s="2"/>
      <c r="N278" s="2"/>
      <c r="O278" s="2" t="s">
        <v>513</v>
      </c>
      <c r="P278" s="3"/>
      <c r="Q278" s="2" t="s">
        <v>523</v>
      </c>
      <c r="R278" s="2" t="n">
        <v>0.016667</v>
      </c>
      <c r="S278" s="2" t="s">
        <v>560</v>
      </c>
    </row>
    <row r="279" customFormat="false" ht="15" hidden="false" customHeight="false" outlineLevel="0" collapsed="false">
      <c r="A279" s="4" t="s">
        <v>510</v>
      </c>
      <c r="B279" s="4" t="n">
        <v>4</v>
      </c>
      <c r="C279" s="4" t="s">
        <v>146</v>
      </c>
      <c r="D279" s="4" t="n">
        <v>8</v>
      </c>
      <c r="E279" s="4" t="s">
        <v>163</v>
      </c>
      <c r="F279" s="4" t="s">
        <v>72</v>
      </c>
      <c r="G279" s="4" t="s">
        <v>527</v>
      </c>
      <c r="H279" s="5" t="s">
        <v>528</v>
      </c>
      <c r="I279" s="4" t="s">
        <v>363</v>
      </c>
      <c r="J279" s="4" t="s">
        <v>303</v>
      </c>
      <c r="K279" s="5" t="s">
        <v>557</v>
      </c>
      <c r="L279" s="4" t="n">
        <f aca="false">MAX(1,ROUND(0.75*Inputs!$B$4*Inputs!$B$5^(B279-1)*INDEX(Inputs!$C$15:$C$23,MATCH("matching",Inputs!$A$15:$A$23,0))*Inputs!$B$7*Inputs!$B$6^(D279-1)/Inputs!$B$12,0))</f>
        <v>69</v>
      </c>
      <c r="M279" s="4"/>
      <c r="N279" s="4"/>
      <c r="O279" s="4" t="s">
        <v>513</v>
      </c>
      <c r="P279" s="5"/>
      <c r="Q279" s="4" t="s">
        <v>529</v>
      </c>
      <c r="R279" s="4" t="n">
        <v>0.1</v>
      </c>
      <c r="S279" s="4" t="s">
        <v>289</v>
      </c>
    </row>
    <row r="280" customFormat="false" ht="23.85" hidden="false" customHeight="false" outlineLevel="0" collapsed="false">
      <c r="A280" s="4" t="s">
        <v>510</v>
      </c>
      <c r="B280" s="4" t="n">
        <v>4</v>
      </c>
      <c r="C280" s="4" t="s">
        <v>146</v>
      </c>
      <c r="D280" s="4" t="n">
        <v>9</v>
      </c>
      <c r="E280" s="4" t="s">
        <v>165</v>
      </c>
      <c r="F280" s="4" t="s">
        <v>72</v>
      </c>
      <c r="G280" s="4" t="s">
        <v>530</v>
      </c>
      <c r="H280" s="5" t="s">
        <v>531</v>
      </c>
      <c r="I280" s="4" t="s">
        <v>532</v>
      </c>
      <c r="J280" s="4" t="s">
        <v>562</v>
      </c>
      <c r="K280" s="5" t="s">
        <v>557</v>
      </c>
      <c r="L280" s="4" t="n">
        <f aca="false">MAX(1,ROUND(0.75*Inputs!$B$4*Inputs!$B$5^(B280-1)*INDEX(Inputs!$C$15:$C$23,MATCH("matching",Inputs!$A$15:$A$23,0))*Inputs!$B$7*Inputs!$B$6^(D280-1)/Inputs!$B$12,0))</f>
        <v>79</v>
      </c>
      <c r="M280" s="4"/>
      <c r="N280" s="4"/>
      <c r="O280" s="4" t="s">
        <v>513</v>
      </c>
      <c r="P280" s="5"/>
      <c r="Q280" s="4" t="s">
        <v>534</v>
      </c>
      <c r="R280" s="4" t="n">
        <v>0.05</v>
      </c>
      <c r="S280" s="4" t="s">
        <v>552</v>
      </c>
    </row>
    <row r="281" customFormat="false" ht="23.85" hidden="false" customHeight="false" outlineLevel="0" collapsed="false">
      <c r="A281" s="6" t="s">
        <v>510</v>
      </c>
      <c r="B281" s="6" t="n">
        <v>4</v>
      </c>
      <c r="C281" s="6" t="s">
        <v>146</v>
      </c>
      <c r="D281" s="6" t="n">
        <v>10</v>
      </c>
      <c r="E281" s="6" t="s">
        <v>167</v>
      </c>
      <c r="F281" s="6" t="s">
        <v>87</v>
      </c>
      <c r="G281" s="6" t="s">
        <v>563</v>
      </c>
      <c r="H281" s="7" t="s">
        <v>564</v>
      </c>
      <c r="I281" s="6" t="s">
        <v>90</v>
      </c>
      <c r="J281" s="6"/>
      <c r="K281" s="7" t="s">
        <v>557</v>
      </c>
      <c r="L281" s="6" t="n">
        <f aca="false">MAX(1,ROUND(0.75*Inputs!$B$4*Inputs!$B$5^(B281-1)*INDEX(Inputs!$C$15:$C$23,MATCH("matching",Inputs!$A$15:$A$23,0))*Inputs!$B$7*Inputs!$B$6^(D281-1)/Inputs!$B$12,0))</f>
        <v>91</v>
      </c>
      <c r="M281" s="6" t="s">
        <v>565</v>
      </c>
      <c r="N281" s="6" t="n">
        <v>2</v>
      </c>
      <c r="O281" s="6" t="s">
        <v>513</v>
      </c>
      <c r="P281" s="7"/>
      <c r="Q281" s="6" t="s">
        <v>566</v>
      </c>
      <c r="R281" s="8" t="b">
        <f aca="false">TRUE()</f>
        <v>1</v>
      </c>
      <c r="S281" s="6" t="s">
        <v>93</v>
      </c>
    </row>
    <row r="282" customFormat="false" ht="23.85" hidden="false" customHeight="false" outlineLevel="0" collapsed="false">
      <c r="A282" s="2" t="s">
        <v>510</v>
      </c>
      <c r="B282" s="2" t="n">
        <v>5</v>
      </c>
      <c r="C282" s="2" t="s">
        <v>172</v>
      </c>
      <c r="D282" s="2" t="n">
        <v>1</v>
      </c>
      <c r="E282" s="2" t="s">
        <v>173</v>
      </c>
      <c r="F282" s="2" t="s">
        <v>22</v>
      </c>
      <c r="G282" s="2" t="s">
        <v>225</v>
      </c>
      <c r="H282" s="3" t="s">
        <v>511</v>
      </c>
      <c r="I282" s="2" t="s">
        <v>308</v>
      </c>
      <c r="J282" s="2" t="s">
        <v>309</v>
      </c>
      <c r="K282" s="3" t="s">
        <v>567</v>
      </c>
      <c r="L282" s="2" t="n">
        <f aca="false">MAX(1,ROUND(0.75*Inputs!$B$4*Inputs!$B$5^(B282-1)*INDEX(Inputs!$C$15:$C$23,MATCH("matching",Inputs!$A$15:$A$23,0))*Inputs!$B$7*Inputs!$B$6^(D282-1)/Inputs!$B$12,0))</f>
        <v>28</v>
      </c>
      <c r="M282" s="2"/>
      <c r="N282" s="2"/>
      <c r="O282" s="2" t="s">
        <v>513</v>
      </c>
      <c r="P282" s="3"/>
      <c r="Q282" s="2" t="s">
        <v>514</v>
      </c>
      <c r="R282" s="2" t="n">
        <v>0.8438</v>
      </c>
      <c r="S282" s="2" t="s">
        <v>297</v>
      </c>
    </row>
    <row r="283" customFormat="false" ht="15" hidden="false" customHeight="false" outlineLevel="0" collapsed="false">
      <c r="A283" s="2" t="s">
        <v>510</v>
      </c>
      <c r="B283" s="2" t="n">
        <v>5</v>
      </c>
      <c r="C283" s="2" t="s">
        <v>172</v>
      </c>
      <c r="D283" s="2" t="n">
        <v>2</v>
      </c>
      <c r="E283" s="2" t="s">
        <v>177</v>
      </c>
      <c r="F283" s="2" t="s">
        <v>22</v>
      </c>
      <c r="G283" s="2" t="s">
        <v>225</v>
      </c>
      <c r="H283" s="3" t="s">
        <v>515</v>
      </c>
      <c r="I283" s="2" t="s">
        <v>308</v>
      </c>
      <c r="J283" s="2" t="s">
        <v>310</v>
      </c>
      <c r="K283" s="3" t="s">
        <v>567</v>
      </c>
      <c r="L283" s="2" t="n">
        <f aca="false">MAX(1,ROUND(0.75*Inputs!$B$4*Inputs!$B$5^(B283-1)*INDEX(Inputs!$C$15:$C$23,MATCH("matching",Inputs!$A$15:$A$23,0))*Inputs!$B$7*Inputs!$B$6^(D283-1)/Inputs!$B$12,0))</f>
        <v>33</v>
      </c>
      <c r="M283" s="2"/>
      <c r="N283" s="2"/>
      <c r="O283" s="2" t="s">
        <v>513</v>
      </c>
      <c r="P283" s="3"/>
      <c r="Q283" s="2" t="s">
        <v>514</v>
      </c>
      <c r="R283" s="2" t="n">
        <v>0.8438</v>
      </c>
      <c r="S283" s="2" t="s">
        <v>309</v>
      </c>
    </row>
    <row r="284" customFormat="false" ht="15" hidden="false" customHeight="false" outlineLevel="0" collapsed="false">
      <c r="A284" s="2" t="s">
        <v>510</v>
      </c>
      <c r="B284" s="2" t="n">
        <v>5</v>
      </c>
      <c r="C284" s="2" t="s">
        <v>172</v>
      </c>
      <c r="D284" s="2" t="n">
        <v>3</v>
      </c>
      <c r="E284" s="2" t="s">
        <v>179</v>
      </c>
      <c r="F284" s="2" t="s">
        <v>22</v>
      </c>
      <c r="G284" s="2" t="s">
        <v>225</v>
      </c>
      <c r="H284" s="3" t="s">
        <v>515</v>
      </c>
      <c r="I284" s="2" t="s">
        <v>308</v>
      </c>
      <c r="J284" s="2" t="s">
        <v>311</v>
      </c>
      <c r="K284" s="3" t="s">
        <v>567</v>
      </c>
      <c r="L284" s="2" t="n">
        <f aca="false">MAX(1,ROUND(0.75*Inputs!$B$4*Inputs!$B$5^(B284-1)*INDEX(Inputs!$C$15:$C$23,MATCH("matching",Inputs!$A$15:$A$23,0))*Inputs!$B$7*Inputs!$B$6^(D284-1)/Inputs!$B$12,0))</f>
        <v>38</v>
      </c>
      <c r="M284" s="2"/>
      <c r="N284" s="2"/>
      <c r="O284" s="2" t="s">
        <v>513</v>
      </c>
      <c r="P284" s="3"/>
      <c r="Q284" s="2" t="s">
        <v>514</v>
      </c>
      <c r="R284" s="2" t="n">
        <v>0.8438</v>
      </c>
      <c r="S284" s="2" t="s">
        <v>310</v>
      </c>
    </row>
    <row r="285" customFormat="false" ht="23.85" hidden="false" customHeight="false" outlineLevel="0" collapsed="false">
      <c r="A285" s="2" t="s">
        <v>510</v>
      </c>
      <c r="B285" s="2" t="n">
        <v>5</v>
      </c>
      <c r="C285" s="2" t="s">
        <v>172</v>
      </c>
      <c r="D285" s="2" t="n">
        <v>4</v>
      </c>
      <c r="E285" s="2" t="s">
        <v>181</v>
      </c>
      <c r="F285" s="2" t="s">
        <v>22</v>
      </c>
      <c r="G285" s="2" t="s">
        <v>234</v>
      </c>
      <c r="H285" s="3" t="s">
        <v>516</v>
      </c>
      <c r="I285" s="2" t="s">
        <v>343</v>
      </c>
      <c r="J285" s="2" t="s">
        <v>568</v>
      </c>
      <c r="K285" s="3" t="s">
        <v>567</v>
      </c>
      <c r="L285" s="2" t="n">
        <f aca="false">MAX(1,ROUND(0.75*Inputs!$B$4*Inputs!$B$5^(B285-1)*INDEX(Inputs!$C$15:$C$23,MATCH("matching",Inputs!$A$15:$A$23,0))*Inputs!$B$7*Inputs!$B$6^(D285-1)/Inputs!$B$12,0))</f>
        <v>43</v>
      </c>
      <c r="M285" s="2"/>
      <c r="N285" s="2"/>
      <c r="O285" s="2" t="s">
        <v>513</v>
      </c>
      <c r="P285" s="3"/>
      <c r="Q285" s="2" t="s">
        <v>518</v>
      </c>
      <c r="R285" s="2" t="n">
        <v>0.016667</v>
      </c>
      <c r="S285" s="2" t="s">
        <v>559</v>
      </c>
    </row>
    <row r="286" customFormat="false" ht="15" hidden="false" customHeight="false" outlineLevel="0" collapsed="false">
      <c r="A286" s="2" t="s">
        <v>510</v>
      </c>
      <c r="B286" s="2" t="n">
        <v>5</v>
      </c>
      <c r="C286" s="2" t="s">
        <v>172</v>
      </c>
      <c r="D286" s="2" t="n">
        <v>5</v>
      </c>
      <c r="E286" s="2" t="s">
        <v>183</v>
      </c>
      <c r="F286" s="2" t="s">
        <v>22</v>
      </c>
      <c r="G286" s="2" t="s">
        <v>234</v>
      </c>
      <c r="H286" s="3" t="s">
        <v>519</v>
      </c>
      <c r="I286" s="2" t="s">
        <v>343</v>
      </c>
      <c r="J286" s="2" t="s">
        <v>241</v>
      </c>
      <c r="K286" s="3" t="s">
        <v>567</v>
      </c>
      <c r="L286" s="2" t="n">
        <f aca="false">MAX(1,ROUND(0.75*Inputs!$B$4*Inputs!$B$5^(B286-1)*INDEX(Inputs!$C$15:$C$23,MATCH("matching",Inputs!$A$15:$A$23,0))*Inputs!$B$7*Inputs!$B$6^(D286-1)/Inputs!$B$12,0))</f>
        <v>50</v>
      </c>
      <c r="M286" s="2"/>
      <c r="N286" s="2"/>
      <c r="O286" s="2" t="s">
        <v>513</v>
      </c>
      <c r="P286" s="3"/>
      <c r="Q286" s="2" t="s">
        <v>518</v>
      </c>
      <c r="R286" s="2" t="n">
        <v>0.016667</v>
      </c>
      <c r="S286" s="2" t="s">
        <v>568</v>
      </c>
    </row>
    <row r="287" customFormat="false" ht="23.85" hidden="false" customHeight="false" outlineLevel="0" collapsed="false">
      <c r="A287" s="2" t="s">
        <v>510</v>
      </c>
      <c r="B287" s="2" t="n">
        <v>5</v>
      </c>
      <c r="C287" s="2" t="s">
        <v>172</v>
      </c>
      <c r="D287" s="2" t="n">
        <v>6</v>
      </c>
      <c r="E287" s="2" t="s">
        <v>185</v>
      </c>
      <c r="F287" s="2" t="s">
        <v>22</v>
      </c>
      <c r="G287" s="2" t="s">
        <v>436</v>
      </c>
      <c r="H287" s="3" t="s">
        <v>521</v>
      </c>
      <c r="I287" s="2" t="s">
        <v>343</v>
      </c>
      <c r="J287" s="2" t="s">
        <v>569</v>
      </c>
      <c r="K287" s="3" t="s">
        <v>567</v>
      </c>
      <c r="L287" s="2" t="n">
        <f aca="false">MAX(1,ROUND(0.75*Inputs!$B$4*Inputs!$B$5^(B287-1)*INDEX(Inputs!$C$15:$C$23,MATCH("matching",Inputs!$A$15:$A$23,0))*Inputs!$B$7*Inputs!$B$6^(D287-1)/Inputs!$B$12,0))</f>
        <v>57</v>
      </c>
      <c r="M287" s="2"/>
      <c r="N287" s="2"/>
      <c r="O287" s="2" t="s">
        <v>513</v>
      </c>
      <c r="P287" s="3"/>
      <c r="Q287" s="2" t="s">
        <v>523</v>
      </c>
      <c r="R287" s="2" t="n">
        <v>0.016667</v>
      </c>
      <c r="S287" s="2" t="s">
        <v>561</v>
      </c>
    </row>
    <row r="288" customFormat="false" ht="15" hidden="false" customHeight="false" outlineLevel="0" collapsed="false">
      <c r="A288" s="2" t="s">
        <v>510</v>
      </c>
      <c r="B288" s="2" t="n">
        <v>5</v>
      </c>
      <c r="C288" s="2" t="s">
        <v>172</v>
      </c>
      <c r="D288" s="2" t="n">
        <v>7</v>
      </c>
      <c r="E288" s="2" t="s">
        <v>187</v>
      </c>
      <c r="F288" s="2" t="s">
        <v>22</v>
      </c>
      <c r="G288" s="2" t="s">
        <v>436</v>
      </c>
      <c r="H288" s="3" t="s">
        <v>525</v>
      </c>
      <c r="I288" s="2" t="s">
        <v>343</v>
      </c>
      <c r="J288" s="2" t="s">
        <v>570</v>
      </c>
      <c r="K288" s="3" t="s">
        <v>567</v>
      </c>
      <c r="L288" s="2" t="n">
        <f aca="false">MAX(1,ROUND(0.75*Inputs!$B$4*Inputs!$B$5^(B288-1)*INDEX(Inputs!$C$15:$C$23,MATCH("matching",Inputs!$A$15:$A$23,0))*Inputs!$B$7*Inputs!$B$6^(D288-1)/Inputs!$B$12,0))</f>
        <v>66</v>
      </c>
      <c r="M288" s="2"/>
      <c r="N288" s="2"/>
      <c r="O288" s="2" t="s">
        <v>513</v>
      </c>
      <c r="P288" s="3"/>
      <c r="Q288" s="2" t="s">
        <v>523</v>
      </c>
      <c r="R288" s="2" t="n">
        <v>0.016667</v>
      </c>
      <c r="S288" s="2" t="s">
        <v>569</v>
      </c>
    </row>
    <row r="289" customFormat="false" ht="15" hidden="false" customHeight="false" outlineLevel="0" collapsed="false">
      <c r="A289" s="4" t="s">
        <v>510</v>
      </c>
      <c r="B289" s="4" t="n">
        <v>5</v>
      </c>
      <c r="C289" s="4" t="s">
        <v>172</v>
      </c>
      <c r="D289" s="4" t="n">
        <v>8</v>
      </c>
      <c r="E289" s="4" t="s">
        <v>189</v>
      </c>
      <c r="F289" s="4" t="s">
        <v>72</v>
      </c>
      <c r="G289" s="4" t="s">
        <v>527</v>
      </c>
      <c r="H289" s="5" t="s">
        <v>528</v>
      </c>
      <c r="I289" s="4" t="s">
        <v>363</v>
      </c>
      <c r="J289" s="4" t="s">
        <v>317</v>
      </c>
      <c r="K289" s="5" t="s">
        <v>567</v>
      </c>
      <c r="L289" s="4" t="n">
        <f aca="false">MAX(1,ROUND(0.75*Inputs!$B$4*Inputs!$B$5^(B289-1)*INDEX(Inputs!$C$15:$C$23,MATCH("matching",Inputs!$A$15:$A$23,0))*Inputs!$B$7*Inputs!$B$6^(D289-1)/Inputs!$B$12,0))</f>
        <v>76</v>
      </c>
      <c r="M289" s="4"/>
      <c r="N289" s="4"/>
      <c r="O289" s="4" t="s">
        <v>513</v>
      </c>
      <c r="P289" s="5"/>
      <c r="Q289" s="4" t="s">
        <v>529</v>
      </c>
      <c r="R289" s="4" t="n">
        <v>0.1</v>
      </c>
      <c r="S289" s="4" t="s">
        <v>303</v>
      </c>
    </row>
    <row r="290" customFormat="false" ht="23.85" hidden="false" customHeight="false" outlineLevel="0" collapsed="false">
      <c r="A290" s="4" t="s">
        <v>510</v>
      </c>
      <c r="B290" s="4" t="n">
        <v>5</v>
      </c>
      <c r="C290" s="4" t="s">
        <v>172</v>
      </c>
      <c r="D290" s="4" t="n">
        <v>9</v>
      </c>
      <c r="E290" s="4" t="s">
        <v>191</v>
      </c>
      <c r="F290" s="4" t="s">
        <v>72</v>
      </c>
      <c r="G290" s="4" t="s">
        <v>530</v>
      </c>
      <c r="H290" s="5" t="s">
        <v>531</v>
      </c>
      <c r="I290" s="4" t="s">
        <v>532</v>
      </c>
      <c r="J290" s="4" t="s">
        <v>571</v>
      </c>
      <c r="K290" s="5" t="s">
        <v>567</v>
      </c>
      <c r="L290" s="4" t="n">
        <f aca="false">MAX(1,ROUND(0.75*Inputs!$B$4*Inputs!$B$5^(B290-1)*INDEX(Inputs!$C$15:$C$23,MATCH("matching",Inputs!$A$15:$A$23,0))*Inputs!$B$7*Inputs!$B$6^(D290-1)/Inputs!$B$12,0))</f>
        <v>87</v>
      </c>
      <c r="M290" s="4"/>
      <c r="N290" s="4"/>
      <c r="O290" s="4" t="s">
        <v>513</v>
      </c>
      <c r="P290" s="5"/>
      <c r="Q290" s="4" t="s">
        <v>534</v>
      </c>
      <c r="R290" s="4" t="n">
        <v>0.05</v>
      </c>
      <c r="S290" s="4" t="s">
        <v>562</v>
      </c>
    </row>
    <row r="291" customFormat="false" ht="23.85" hidden="false" customHeight="false" outlineLevel="0" collapsed="false">
      <c r="A291" s="6" t="s">
        <v>510</v>
      </c>
      <c r="B291" s="6" t="n">
        <v>5</v>
      </c>
      <c r="C291" s="6" t="s">
        <v>172</v>
      </c>
      <c r="D291" s="6" t="n">
        <v>10</v>
      </c>
      <c r="E291" s="6" t="s">
        <v>193</v>
      </c>
      <c r="F291" s="6" t="s">
        <v>87</v>
      </c>
      <c r="G291" s="6" t="s">
        <v>318</v>
      </c>
      <c r="H291" s="7" t="s">
        <v>572</v>
      </c>
      <c r="I291" s="6" t="s">
        <v>90</v>
      </c>
      <c r="J291" s="6"/>
      <c r="K291" s="7" t="s">
        <v>567</v>
      </c>
      <c r="L291" s="6" t="n">
        <f aca="false">MAX(1,ROUND(0.75*Inputs!$B$4*Inputs!$B$5^(B291-1)*INDEX(Inputs!$C$15:$C$23,MATCH("matching",Inputs!$A$15:$A$23,0))*Inputs!$B$7*Inputs!$B$6^(D291-1)/Inputs!$B$12,0))</f>
        <v>100</v>
      </c>
      <c r="M291" s="6" t="s">
        <v>573</v>
      </c>
      <c r="N291" s="6" t="n">
        <v>2</v>
      </c>
      <c r="O291" s="6" t="s">
        <v>513</v>
      </c>
      <c r="P291" s="7"/>
      <c r="Q291" s="6" t="s">
        <v>574</v>
      </c>
      <c r="R291" s="8" t="b">
        <f aca="false">TRUE()</f>
        <v>1</v>
      </c>
      <c r="S291" s="6" t="s">
        <v>93</v>
      </c>
    </row>
    <row r="292" customFormat="false" ht="23.85" hidden="false" customHeight="false" outlineLevel="0" collapsed="false">
      <c r="A292" s="2" t="s">
        <v>510</v>
      </c>
      <c r="B292" s="2" t="n">
        <v>6</v>
      </c>
      <c r="C292" s="2" t="s">
        <v>198</v>
      </c>
      <c r="D292" s="2" t="n">
        <v>1</v>
      </c>
      <c r="E292" s="2" t="s">
        <v>199</v>
      </c>
      <c r="F292" s="2" t="s">
        <v>22</v>
      </c>
      <c r="G292" s="2" t="s">
        <v>225</v>
      </c>
      <c r="H292" s="3" t="s">
        <v>511</v>
      </c>
      <c r="I292" s="2" t="s">
        <v>322</v>
      </c>
      <c r="J292" s="2" t="s">
        <v>323</v>
      </c>
      <c r="K292" s="3" t="s">
        <v>575</v>
      </c>
      <c r="L292" s="2" t="n">
        <f aca="false">MAX(1,ROUND(1*Inputs!$B$4*Inputs!$B$5^(B292-1)*INDEX(Inputs!$C$15:$C$23,MATCH("matching",Inputs!$A$15:$A$23,0))*Inputs!$B$7*Inputs!$B$6^(D292-1)/Inputs!$B$12,0))</f>
        <v>42</v>
      </c>
      <c r="M292" s="2"/>
      <c r="N292" s="2"/>
      <c r="O292" s="2" t="s">
        <v>513</v>
      </c>
      <c r="P292" s="3"/>
      <c r="Q292" s="2" t="s">
        <v>514</v>
      </c>
      <c r="R292" s="2" t="n">
        <v>1.2656</v>
      </c>
      <c r="S292" s="2" t="s">
        <v>311</v>
      </c>
    </row>
    <row r="293" customFormat="false" ht="15" hidden="false" customHeight="false" outlineLevel="0" collapsed="false">
      <c r="A293" s="2" t="s">
        <v>510</v>
      </c>
      <c r="B293" s="2" t="n">
        <v>6</v>
      </c>
      <c r="C293" s="2" t="s">
        <v>198</v>
      </c>
      <c r="D293" s="2" t="n">
        <v>2</v>
      </c>
      <c r="E293" s="2" t="s">
        <v>203</v>
      </c>
      <c r="F293" s="2" t="s">
        <v>22</v>
      </c>
      <c r="G293" s="2" t="s">
        <v>225</v>
      </c>
      <c r="H293" s="3" t="s">
        <v>515</v>
      </c>
      <c r="I293" s="2" t="s">
        <v>322</v>
      </c>
      <c r="J293" s="2" t="s">
        <v>324</v>
      </c>
      <c r="K293" s="3" t="s">
        <v>575</v>
      </c>
      <c r="L293" s="2" t="n">
        <f aca="false">MAX(1,ROUND(1*Inputs!$B$4*Inputs!$B$5^(B293-1)*INDEX(Inputs!$C$15:$C$23,MATCH("matching",Inputs!$A$15:$A$23,0))*Inputs!$B$7*Inputs!$B$6^(D293-1)/Inputs!$B$12,0))</f>
        <v>48</v>
      </c>
      <c r="M293" s="2"/>
      <c r="N293" s="2"/>
      <c r="O293" s="2" t="s">
        <v>513</v>
      </c>
      <c r="P293" s="3"/>
      <c r="Q293" s="2" t="s">
        <v>514</v>
      </c>
      <c r="R293" s="2" t="n">
        <v>1.2656</v>
      </c>
      <c r="S293" s="2" t="s">
        <v>323</v>
      </c>
    </row>
    <row r="294" customFormat="false" ht="15" hidden="false" customHeight="false" outlineLevel="0" collapsed="false">
      <c r="A294" s="2" t="s">
        <v>510</v>
      </c>
      <c r="B294" s="2" t="n">
        <v>6</v>
      </c>
      <c r="C294" s="2" t="s">
        <v>198</v>
      </c>
      <c r="D294" s="2" t="n">
        <v>3</v>
      </c>
      <c r="E294" s="2" t="s">
        <v>205</v>
      </c>
      <c r="F294" s="2" t="s">
        <v>22</v>
      </c>
      <c r="G294" s="2" t="s">
        <v>225</v>
      </c>
      <c r="H294" s="3" t="s">
        <v>515</v>
      </c>
      <c r="I294" s="2" t="s">
        <v>322</v>
      </c>
      <c r="J294" s="2" t="s">
        <v>325</v>
      </c>
      <c r="K294" s="3" t="s">
        <v>575</v>
      </c>
      <c r="L294" s="2" t="n">
        <f aca="false">MAX(1,ROUND(1*Inputs!$B$4*Inputs!$B$5^(B294-1)*INDEX(Inputs!$C$15:$C$23,MATCH("matching",Inputs!$A$15:$A$23,0))*Inputs!$B$7*Inputs!$B$6^(D294-1)/Inputs!$B$12,0))</f>
        <v>55</v>
      </c>
      <c r="M294" s="2"/>
      <c r="N294" s="2"/>
      <c r="O294" s="2" t="s">
        <v>513</v>
      </c>
      <c r="P294" s="3"/>
      <c r="Q294" s="2" t="s">
        <v>514</v>
      </c>
      <c r="R294" s="2" t="n">
        <v>1.2656</v>
      </c>
      <c r="S294" s="2" t="s">
        <v>324</v>
      </c>
    </row>
    <row r="295" customFormat="false" ht="23.85" hidden="false" customHeight="false" outlineLevel="0" collapsed="false">
      <c r="A295" s="2" t="s">
        <v>510</v>
      </c>
      <c r="B295" s="2" t="n">
        <v>6</v>
      </c>
      <c r="C295" s="2" t="s">
        <v>198</v>
      </c>
      <c r="D295" s="2" t="n">
        <v>4</v>
      </c>
      <c r="E295" s="2" t="s">
        <v>207</v>
      </c>
      <c r="F295" s="2" t="s">
        <v>22</v>
      </c>
      <c r="G295" s="2" t="s">
        <v>234</v>
      </c>
      <c r="H295" s="3" t="s">
        <v>516</v>
      </c>
      <c r="I295" s="2" t="s">
        <v>343</v>
      </c>
      <c r="J295" s="2" t="s">
        <v>576</v>
      </c>
      <c r="K295" s="3" t="s">
        <v>575</v>
      </c>
      <c r="L295" s="2" t="n">
        <f aca="false">MAX(1,ROUND(1*Inputs!$B$4*Inputs!$B$5^(B295-1)*INDEX(Inputs!$C$15:$C$23,MATCH("matching",Inputs!$A$15:$A$23,0))*Inputs!$B$7*Inputs!$B$6^(D295-1)/Inputs!$B$12,0))</f>
        <v>63</v>
      </c>
      <c r="M295" s="2"/>
      <c r="N295" s="2"/>
      <c r="O295" s="2" t="s">
        <v>513</v>
      </c>
      <c r="P295" s="3"/>
      <c r="Q295" s="2" t="s">
        <v>518</v>
      </c>
      <c r="R295" s="2" t="n">
        <v>0.016667</v>
      </c>
      <c r="S295" s="2" t="s">
        <v>241</v>
      </c>
    </row>
    <row r="296" customFormat="false" ht="15" hidden="false" customHeight="false" outlineLevel="0" collapsed="false">
      <c r="A296" s="2" t="s">
        <v>510</v>
      </c>
      <c r="B296" s="2" t="n">
        <v>6</v>
      </c>
      <c r="C296" s="2" t="s">
        <v>198</v>
      </c>
      <c r="D296" s="2" t="n">
        <v>5</v>
      </c>
      <c r="E296" s="2" t="s">
        <v>209</v>
      </c>
      <c r="F296" s="2" t="s">
        <v>22</v>
      </c>
      <c r="G296" s="2" t="s">
        <v>234</v>
      </c>
      <c r="H296" s="3" t="s">
        <v>519</v>
      </c>
      <c r="I296" s="2" t="s">
        <v>343</v>
      </c>
      <c r="J296" s="2" t="s">
        <v>577</v>
      </c>
      <c r="K296" s="3" t="s">
        <v>575</v>
      </c>
      <c r="L296" s="2" t="n">
        <f aca="false">MAX(1,ROUND(1*Inputs!$B$4*Inputs!$B$5^(B296-1)*INDEX(Inputs!$C$15:$C$23,MATCH("matching",Inputs!$A$15:$A$23,0))*Inputs!$B$7*Inputs!$B$6^(D296-1)/Inputs!$B$12,0))</f>
        <v>73</v>
      </c>
      <c r="M296" s="2"/>
      <c r="N296" s="2"/>
      <c r="O296" s="2" t="s">
        <v>513</v>
      </c>
      <c r="P296" s="3"/>
      <c r="Q296" s="2" t="s">
        <v>518</v>
      </c>
      <c r="R296" s="2" t="n">
        <v>0.016667</v>
      </c>
      <c r="S296" s="2" t="s">
        <v>576</v>
      </c>
    </row>
    <row r="297" customFormat="false" ht="23.85" hidden="false" customHeight="false" outlineLevel="0" collapsed="false">
      <c r="A297" s="2" t="s">
        <v>510</v>
      </c>
      <c r="B297" s="2" t="n">
        <v>6</v>
      </c>
      <c r="C297" s="2" t="s">
        <v>198</v>
      </c>
      <c r="D297" s="2" t="n">
        <v>6</v>
      </c>
      <c r="E297" s="2" t="s">
        <v>211</v>
      </c>
      <c r="F297" s="2" t="s">
        <v>22</v>
      </c>
      <c r="G297" s="2" t="s">
        <v>436</v>
      </c>
      <c r="H297" s="3" t="s">
        <v>521</v>
      </c>
      <c r="I297" s="2" t="s">
        <v>343</v>
      </c>
      <c r="J297" s="2" t="s">
        <v>578</v>
      </c>
      <c r="K297" s="3" t="s">
        <v>575</v>
      </c>
      <c r="L297" s="2" t="n">
        <f aca="false">MAX(1,ROUND(1*Inputs!$B$4*Inputs!$B$5^(B297-1)*INDEX(Inputs!$C$15:$C$23,MATCH("matching",Inputs!$A$15:$A$23,0))*Inputs!$B$7*Inputs!$B$6^(D297-1)/Inputs!$B$12,0))</f>
        <v>84</v>
      </c>
      <c r="M297" s="2"/>
      <c r="N297" s="2"/>
      <c r="O297" s="2" t="s">
        <v>513</v>
      </c>
      <c r="P297" s="3"/>
      <c r="Q297" s="2" t="s">
        <v>523</v>
      </c>
      <c r="R297" s="2" t="n">
        <v>0.016667</v>
      </c>
      <c r="S297" s="2" t="s">
        <v>570</v>
      </c>
    </row>
    <row r="298" customFormat="false" ht="15" hidden="false" customHeight="false" outlineLevel="0" collapsed="false">
      <c r="A298" s="2" t="s">
        <v>510</v>
      </c>
      <c r="B298" s="2" t="n">
        <v>6</v>
      </c>
      <c r="C298" s="2" t="s">
        <v>198</v>
      </c>
      <c r="D298" s="2" t="n">
        <v>7</v>
      </c>
      <c r="E298" s="2" t="s">
        <v>213</v>
      </c>
      <c r="F298" s="2" t="s">
        <v>22</v>
      </c>
      <c r="G298" s="2" t="s">
        <v>436</v>
      </c>
      <c r="H298" s="3" t="s">
        <v>525</v>
      </c>
      <c r="I298" s="2" t="s">
        <v>343</v>
      </c>
      <c r="J298" s="2" t="s">
        <v>579</v>
      </c>
      <c r="K298" s="3" t="s">
        <v>575</v>
      </c>
      <c r="L298" s="2" t="n">
        <f aca="false">MAX(1,ROUND(1*Inputs!$B$4*Inputs!$B$5^(B298-1)*INDEX(Inputs!$C$15:$C$23,MATCH("matching",Inputs!$A$15:$A$23,0))*Inputs!$B$7*Inputs!$B$6^(D298-1)/Inputs!$B$12,0))</f>
        <v>96</v>
      </c>
      <c r="M298" s="2"/>
      <c r="N298" s="2"/>
      <c r="O298" s="2" t="s">
        <v>513</v>
      </c>
      <c r="P298" s="3"/>
      <c r="Q298" s="2" t="s">
        <v>523</v>
      </c>
      <c r="R298" s="2" t="n">
        <v>0.016667</v>
      </c>
      <c r="S298" s="2" t="s">
        <v>578</v>
      </c>
    </row>
    <row r="299" customFormat="false" ht="15" hidden="false" customHeight="false" outlineLevel="0" collapsed="false">
      <c r="A299" s="4" t="s">
        <v>510</v>
      </c>
      <c r="B299" s="4" t="n">
        <v>6</v>
      </c>
      <c r="C299" s="4" t="s">
        <v>198</v>
      </c>
      <c r="D299" s="4" t="n">
        <v>8</v>
      </c>
      <c r="E299" s="4" t="s">
        <v>215</v>
      </c>
      <c r="F299" s="4" t="s">
        <v>72</v>
      </c>
      <c r="G299" s="4" t="s">
        <v>527</v>
      </c>
      <c r="H299" s="5" t="s">
        <v>528</v>
      </c>
      <c r="I299" s="4" t="s">
        <v>363</v>
      </c>
      <c r="J299" s="4" t="s">
        <v>331</v>
      </c>
      <c r="K299" s="5" t="s">
        <v>575</v>
      </c>
      <c r="L299" s="4" t="n">
        <f aca="false">MAX(1,ROUND(1*Inputs!$B$4*Inputs!$B$5^(B299-1)*INDEX(Inputs!$C$15:$C$23,MATCH("matching",Inputs!$A$15:$A$23,0))*Inputs!$B$7*Inputs!$B$6^(D299-1)/Inputs!$B$12,0))</f>
        <v>111</v>
      </c>
      <c r="M299" s="4"/>
      <c r="N299" s="4"/>
      <c r="O299" s="4" t="s">
        <v>513</v>
      </c>
      <c r="P299" s="5"/>
      <c r="Q299" s="4" t="s">
        <v>529</v>
      </c>
      <c r="R299" s="4" t="n">
        <v>0.1</v>
      </c>
      <c r="S299" s="4" t="s">
        <v>317</v>
      </c>
    </row>
    <row r="300" customFormat="false" ht="23.85" hidden="false" customHeight="false" outlineLevel="0" collapsed="false">
      <c r="A300" s="4" t="s">
        <v>510</v>
      </c>
      <c r="B300" s="4" t="n">
        <v>6</v>
      </c>
      <c r="C300" s="4" t="s">
        <v>198</v>
      </c>
      <c r="D300" s="4" t="n">
        <v>9</v>
      </c>
      <c r="E300" s="4" t="s">
        <v>217</v>
      </c>
      <c r="F300" s="4" t="s">
        <v>72</v>
      </c>
      <c r="G300" s="4" t="s">
        <v>530</v>
      </c>
      <c r="H300" s="5" t="s">
        <v>531</v>
      </c>
      <c r="I300" s="4" t="s">
        <v>532</v>
      </c>
      <c r="J300" s="4" t="s">
        <v>580</v>
      </c>
      <c r="K300" s="5" t="s">
        <v>575</v>
      </c>
      <c r="L300" s="4" t="n">
        <f aca="false">MAX(1,ROUND(1*Inputs!$B$4*Inputs!$B$5^(B300-1)*INDEX(Inputs!$C$15:$C$23,MATCH("matching",Inputs!$A$15:$A$23,0))*Inputs!$B$7*Inputs!$B$6^(D300-1)/Inputs!$B$12,0))</f>
        <v>127</v>
      </c>
      <c r="M300" s="4"/>
      <c r="N300" s="4"/>
      <c r="O300" s="4" t="s">
        <v>513</v>
      </c>
      <c r="P300" s="5"/>
      <c r="Q300" s="4" t="s">
        <v>534</v>
      </c>
      <c r="R300" s="4" t="n">
        <v>0.05</v>
      </c>
      <c r="S300" s="4" t="s">
        <v>571</v>
      </c>
    </row>
    <row r="301" customFormat="false" ht="23.85" hidden="false" customHeight="false" outlineLevel="0" collapsed="false">
      <c r="A301" s="6" t="s">
        <v>510</v>
      </c>
      <c r="B301" s="6" t="n">
        <v>6</v>
      </c>
      <c r="C301" s="6" t="s">
        <v>198</v>
      </c>
      <c r="D301" s="6" t="n">
        <v>10</v>
      </c>
      <c r="E301" s="6" t="s">
        <v>219</v>
      </c>
      <c r="F301" s="6" t="s">
        <v>87</v>
      </c>
      <c r="G301" s="6" t="s">
        <v>581</v>
      </c>
      <c r="H301" s="7" t="s">
        <v>582</v>
      </c>
      <c r="I301" s="6" t="s">
        <v>90</v>
      </c>
      <c r="J301" s="6"/>
      <c r="K301" s="7" t="s">
        <v>575</v>
      </c>
      <c r="L301" s="6" t="n">
        <f aca="false">MAX(1,ROUND(1*Inputs!$B$4*Inputs!$B$5^(B301-1)*INDEX(Inputs!$C$15:$C$23,MATCH("matching",Inputs!$A$15:$A$23,0))*Inputs!$B$7*Inputs!$B$6^(D301-1)/Inputs!$B$12,0))</f>
        <v>146</v>
      </c>
      <c r="M301" s="6" t="s">
        <v>583</v>
      </c>
      <c r="N301" s="6" t="n">
        <v>2</v>
      </c>
      <c r="O301" s="6" t="s">
        <v>513</v>
      </c>
      <c r="P301" s="7"/>
      <c r="Q301" s="6" t="s">
        <v>584</v>
      </c>
      <c r="R301" s="8" t="b">
        <f aca="false">TRUE()</f>
        <v>1</v>
      </c>
      <c r="S301" s="6" t="s">
        <v>93</v>
      </c>
    </row>
    <row r="302" customFormat="false" ht="35.05" hidden="false" customHeight="false" outlineLevel="0" collapsed="false">
      <c r="A302" s="2" t="s">
        <v>585</v>
      </c>
      <c r="B302" s="2" t="n">
        <v>1</v>
      </c>
      <c r="C302" s="2" t="s">
        <v>20</v>
      </c>
      <c r="D302" s="2" t="n">
        <v>1</v>
      </c>
      <c r="E302" s="2" t="s">
        <v>21</v>
      </c>
      <c r="F302" s="2" t="s">
        <v>22</v>
      </c>
      <c r="G302" s="2" t="s">
        <v>225</v>
      </c>
      <c r="H302" s="3" t="s">
        <v>586</v>
      </c>
      <c r="I302" s="2" t="s">
        <v>227</v>
      </c>
      <c r="J302" s="2" t="s">
        <v>228</v>
      </c>
      <c r="K302" s="3" t="s">
        <v>587</v>
      </c>
      <c r="L302" s="2" t="n">
        <f aca="false">MAX(1,ROUND(0.3*Inputs!$B$4*Inputs!$B$5^(B302-1)*INDEX(Inputs!$C$15:$C$23,MATCH("phishing",Inputs!$A$15:$A$23,0))*Inputs!$B$7*Inputs!$B$6^(D302-1)/Inputs!$B$12,0))</f>
        <v>12</v>
      </c>
      <c r="M302" s="2"/>
      <c r="N302" s="2"/>
      <c r="O302" s="2" t="s">
        <v>588</v>
      </c>
      <c r="P302" s="3"/>
      <c r="Q302" s="2" t="s">
        <v>589</v>
      </c>
      <c r="R302" s="2" t="n">
        <v>0.1667</v>
      </c>
      <c r="S302" s="2" t="s">
        <v>230</v>
      </c>
    </row>
    <row r="303" customFormat="false" ht="15" hidden="false" customHeight="false" outlineLevel="0" collapsed="false">
      <c r="A303" s="2" t="s">
        <v>585</v>
      </c>
      <c r="B303" s="2" t="n">
        <v>1</v>
      </c>
      <c r="C303" s="2" t="s">
        <v>20</v>
      </c>
      <c r="D303" s="2" t="n">
        <v>2</v>
      </c>
      <c r="E303" s="2" t="s">
        <v>31</v>
      </c>
      <c r="F303" s="2" t="s">
        <v>22</v>
      </c>
      <c r="G303" s="2" t="s">
        <v>225</v>
      </c>
      <c r="H303" s="3" t="s">
        <v>590</v>
      </c>
      <c r="I303" s="2" t="s">
        <v>227</v>
      </c>
      <c r="J303" s="2" t="s">
        <v>232</v>
      </c>
      <c r="K303" s="3" t="s">
        <v>587</v>
      </c>
      <c r="L303" s="2" t="n">
        <f aca="false">MAX(1,ROUND(0.3*Inputs!$B$4*Inputs!$B$5^(B303-1)*INDEX(Inputs!$C$15:$C$23,MATCH("phishing",Inputs!$A$15:$A$23,0))*Inputs!$B$7*Inputs!$B$6^(D303-1)/Inputs!$B$12,0))</f>
        <v>14</v>
      </c>
      <c r="M303" s="2"/>
      <c r="N303" s="2"/>
      <c r="O303" s="2" t="s">
        <v>588</v>
      </c>
      <c r="P303" s="3"/>
      <c r="Q303" s="2" t="s">
        <v>589</v>
      </c>
      <c r="R303" s="2" t="n">
        <v>0.1667</v>
      </c>
      <c r="S303" s="2" t="s">
        <v>228</v>
      </c>
    </row>
    <row r="304" customFormat="false" ht="15" hidden="false" customHeight="false" outlineLevel="0" collapsed="false">
      <c r="A304" s="2" t="s">
        <v>585</v>
      </c>
      <c r="B304" s="2" t="n">
        <v>1</v>
      </c>
      <c r="C304" s="2" t="s">
        <v>20</v>
      </c>
      <c r="D304" s="2" t="n">
        <v>3</v>
      </c>
      <c r="E304" s="2" t="s">
        <v>38</v>
      </c>
      <c r="F304" s="2" t="s">
        <v>22</v>
      </c>
      <c r="G304" s="2" t="s">
        <v>225</v>
      </c>
      <c r="H304" s="3" t="s">
        <v>590</v>
      </c>
      <c r="I304" s="2" t="s">
        <v>227</v>
      </c>
      <c r="J304" s="2" t="s">
        <v>233</v>
      </c>
      <c r="K304" s="3" t="s">
        <v>587</v>
      </c>
      <c r="L304" s="2" t="n">
        <f aca="false">MAX(1,ROUND(0.3*Inputs!$B$4*Inputs!$B$5^(B304-1)*INDEX(Inputs!$C$15:$C$23,MATCH("phishing",Inputs!$A$15:$A$23,0))*Inputs!$B$7*Inputs!$B$6^(D304-1)/Inputs!$B$12,0))</f>
        <v>16</v>
      </c>
      <c r="M304" s="2"/>
      <c r="N304" s="2"/>
      <c r="O304" s="2" t="s">
        <v>588</v>
      </c>
      <c r="P304" s="3"/>
      <c r="Q304" s="2" t="s">
        <v>589</v>
      </c>
      <c r="R304" s="2" t="n">
        <v>0.1667</v>
      </c>
      <c r="S304" s="2" t="s">
        <v>232</v>
      </c>
    </row>
    <row r="305" customFormat="false" ht="35.05" hidden="false" customHeight="false" outlineLevel="0" collapsed="false">
      <c r="A305" s="2" t="s">
        <v>585</v>
      </c>
      <c r="B305" s="2" t="n">
        <v>1</v>
      </c>
      <c r="C305" s="2" t="s">
        <v>20</v>
      </c>
      <c r="D305" s="2" t="n">
        <v>4</v>
      </c>
      <c r="E305" s="2" t="s">
        <v>47</v>
      </c>
      <c r="F305" s="2" t="s">
        <v>22</v>
      </c>
      <c r="G305" s="2" t="s">
        <v>234</v>
      </c>
      <c r="H305" s="3" t="s">
        <v>591</v>
      </c>
      <c r="I305" s="2" t="s">
        <v>592</v>
      </c>
      <c r="J305" s="2" t="s">
        <v>593</v>
      </c>
      <c r="K305" s="3" t="s">
        <v>587</v>
      </c>
      <c r="L305" s="2" t="n">
        <f aca="false">MAX(1,ROUND(0.3*Inputs!$B$4*Inputs!$B$5^(B305-1)*INDEX(Inputs!$C$15:$C$23,MATCH("phishing",Inputs!$A$15:$A$23,0))*Inputs!$B$7*Inputs!$B$6^(D305-1)/Inputs!$B$12,0))</f>
        <v>19</v>
      </c>
      <c r="M305" s="2"/>
      <c r="N305" s="2"/>
      <c r="O305" s="2" t="s">
        <v>588</v>
      </c>
      <c r="P305" s="3"/>
      <c r="Q305" s="2" t="s">
        <v>594</v>
      </c>
      <c r="R305" s="2" t="n">
        <v>0.016667</v>
      </c>
      <c r="S305" s="2" t="s">
        <v>595</v>
      </c>
    </row>
    <row r="306" customFormat="false" ht="23.85" hidden="false" customHeight="false" outlineLevel="0" collapsed="false">
      <c r="A306" s="2" t="s">
        <v>585</v>
      </c>
      <c r="B306" s="2" t="n">
        <v>1</v>
      </c>
      <c r="C306" s="2" t="s">
        <v>20</v>
      </c>
      <c r="D306" s="2" t="n">
        <v>5</v>
      </c>
      <c r="E306" s="2" t="s">
        <v>54</v>
      </c>
      <c r="F306" s="2" t="s">
        <v>22</v>
      </c>
      <c r="G306" s="2" t="s">
        <v>234</v>
      </c>
      <c r="H306" s="3" t="s">
        <v>596</v>
      </c>
      <c r="I306" s="2" t="s">
        <v>592</v>
      </c>
      <c r="J306" s="2" t="s">
        <v>597</v>
      </c>
      <c r="K306" s="3" t="s">
        <v>587</v>
      </c>
      <c r="L306" s="2" t="n">
        <f aca="false">MAX(1,ROUND(0.3*Inputs!$B$4*Inputs!$B$5^(B306-1)*INDEX(Inputs!$C$15:$C$23,MATCH("phishing",Inputs!$A$15:$A$23,0))*Inputs!$B$7*Inputs!$B$6^(D306-1)/Inputs!$B$12,0))</f>
        <v>21</v>
      </c>
      <c r="M306" s="2"/>
      <c r="N306" s="2"/>
      <c r="O306" s="2" t="s">
        <v>588</v>
      </c>
      <c r="P306" s="3"/>
      <c r="Q306" s="2" t="s">
        <v>594</v>
      </c>
      <c r="R306" s="2" t="n">
        <v>0.016667</v>
      </c>
      <c r="S306" s="2" t="s">
        <v>593</v>
      </c>
    </row>
    <row r="307" customFormat="false" ht="23.85" hidden="false" customHeight="false" outlineLevel="0" collapsed="false">
      <c r="A307" s="2" t="s">
        <v>585</v>
      </c>
      <c r="B307" s="2" t="n">
        <v>1</v>
      </c>
      <c r="C307" s="2" t="s">
        <v>20</v>
      </c>
      <c r="D307" s="2" t="n">
        <v>6</v>
      </c>
      <c r="E307" s="2" t="s">
        <v>57</v>
      </c>
      <c r="F307" s="2" t="s">
        <v>22</v>
      </c>
      <c r="G307" s="2" t="s">
        <v>598</v>
      </c>
      <c r="H307" s="3" t="s">
        <v>599</v>
      </c>
      <c r="I307" s="2" t="s">
        <v>41</v>
      </c>
      <c r="J307" s="2" t="s">
        <v>600</v>
      </c>
      <c r="K307" s="3" t="s">
        <v>587</v>
      </c>
      <c r="L307" s="2" t="n">
        <f aca="false">MAX(1,ROUND(0.3*Inputs!$B$4*Inputs!$B$5^(B307-1)*INDEX(Inputs!$C$15:$C$23,MATCH("phishing",Inputs!$A$15:$A$23,0))*Inputs!$B$7*Inputs!$B$6^(D307-1)/Inputs!$B$12,0))</f>
        <v>25</v>
      </c>
      <c r="M307" s="2"/>
      <c r="N307" s="2"/>
      <c r="O307" s="2" t="s">
        <v>588</v>
      </c>
      <c r="P307" s="3"/>
      <c r="Q307" s="2" t="s">
        <v>601</v>
      </c>
      <c r="R307" s="2" t="n">
        <v>1</v>
      </c>
      <c r="S307" s="2" t="s">
        <v>602</v>
      </c>
    </row>
    <row r="308" customFormat="false" ht="15" hidden="false" customHeight="false" outlineLevel="0" collapsed="false">
      <c r="A308" s="2" t="s">
        <v>585</v>
      </c>
      <c r="B308" s="2" t="n">
        <v>1</v>
      </c>
      <c r="C308" s="2" t="s">
        <v>20</v>
      </c>
      <c r="D308" s="2" t="n">
        <v>7</v>
      </c>
      <c r="E308" s="2" t="s">
        <v>64</v>
      </c>
      <c r="F308" s="2" t="s">
        <v>22</v>
      </c>
      <c r="G308" s="2" t="s">
        <v>603</v>
      </c>
      <c r="H308" s="3" t="s">
        <v>604</v>
      </c>
      <c r="I308" s="2" t="s">
        <v>605</v>
      </c>
      <c r="J308" s="2" t="s">
        <v>606</v>
      </c>
      <c r="K308" s="3" t="s">
        <v>587</v>
      </c>
      <c r="L308" s="2" t="n">
        <f aca="false">MAX(1,ROUND(0.3*Inputs!$B$4*Inputs!$B$5^(B308-1)*INDEX(Inputs!$C$15:$C$23,MATCH("phishing",Inputs!$A$15:$A$23,0))*Inputs!$B$7*Inputs!$B$6^(D308-1)/Inputs!$B$12,0))</f>
        <v>28</v>
      </c>
      <c r="M308" s="2"/>
      <c r="N308" s="2"/>
      <c r="O308" s="2" t="s">
        <v>588</v>
      </c>
      <c r="P308" s="3"/>
      <c r="Q308" s="2" t="s">
        <v>607</v>
      </c>
      <c r="R308" s="2" t="n">
        <v>0.05</v>
      </c>
      <c r="S308" s="2" t="s">
        <v>608</v>
      </c>
    </row>
    <row r="309" customFormat="false" ht="15" hidden="false" customHeight="false" outlineLevel="0" collapsed="false">
      <c r="A309" s="4" t="s">
        <v>585</v>
      </c>
      <c r="B309" s="4" t="n">
        <v>1</v>
      </c>
      <c r="C309" s="4" t="s">
        <v>20</v>
      </c>
      <c r="D309" s="4" t="n">
        <v>8</v>
      </c>
      <c r="E309" s="4" t="s">
        <v>71</v>
      </c>
      <c r="F309" s="4" t="s">
        <v>72</v>
      </c>
      <c r="G309" s="4" t="s">
        <v>609</v>
      </c>
      <c r="H309" s="5" t="s">
        <v>610</v>
      </c>
      <c r="I309" s="4" t="s">
        <v>605</v>
      </c>
      <c r="J309" s="4" t="s">
        <v>611</v>
      </c>
      <c r="K309" s="5" t="s">
        <v>587</v>
      </c>
      <c r="L309" s="4" t="n">
        <f aca="false">MAX(1,ROUND(0.3*Inputs!$B$4*Inputs!$B$5^(B309-1)*INDEX(Inputs!$C$15:$C$23,MATCH("phishing",Inputs!$A$15:$A$23,0))*Inputs!$B$7*Inputs!$B$6^(D309-1)/Inputs!$B$12,0))</f>
        <v>32</v>
      </c>
      <c r="M309" s="4"/>
      <c r="N309" s="4"/>
      <c r="O309" s="4" t="s">
        <v>588</v>
      </c>
      <c r="P309" s="5"/>
      <c r="Q309" s="4" t="s">
        <v>612</v>
      </c>
      <c r="R309" s="4" t="n">
        <v>0.05</v>
      </c>
      <c r="S309" s="4" t="s">
        <v>613</v>
      </c>
    </row>
    <row r="310" customFormat="false" ht="23.85" hidden="false" customHeight="false" outlineLevel="0" collapsed="false">
      <c r="A310" s="4" t="s">
        <v>585</v>
      </c>
      <c r="B310" s="4" t="n">
        <v>1</v>
      </c>
      <c r="C310" s="4" t="s">
        <v>20</v>
      </c>
      <c r="D310" s="4" t="n">
        <v>9</v>
      </c>
      <c r="E310" s="4" t="s">
        <v>79</v>
      </c>
      <c r="F310" s="4" t="s">
        <v>72</v>
      </c>
      <c r="G310" s="4" t="s">
        <v>614</v>
      </c>
      <c r="H310" s="5" t="s">
        <v>615</v>
      </c>
      <c r="I310" s="4" t="s">
        <v>616</v>
      </c>
      <c r="J310" s="4" t="s">
        <v>617</v>
      </c>
      <c r="K310" s="5" t="s">
        <v>587</v>
      </c>
      <c r="L310" s="4" t="n">
        <f aca="false">MAX(1,ROUND(0.3*Inputs!$B$4*Inputs!$B$5^(B310-1)*INDEX(Inputs!$C$15:$C$23,MATCH("phishing",Inputs!$A$15:$A$23,0))*Inputs!$B$7*Inputs!$B$6^(D310-1)/Inputs!$B$12,0))</f>
        <v>37</v>
      </c>
      <c r="M310" s="4"/>
      <c r="N310" s="4"/>
      <c r="O310" s="4" t="s">
        <v>588</v>
      </c>
      <c r="P310" s="5"/>
      <c r="Q310" s="4" t="s">
        <v>618</v>
      </c>
      <c r="R310" s="4" t="n">
        <v>0.05</v>
      </c>
      <c r="S310" s="4" t="s">
        <v>619</v>
      </c>
    </row>
    <row r="311" customFormat="false" ht="23.85" hidden="false" customHeight="false" outlineLevel="0" collapsed="false">
      <c r="A311" s="6" t="s">
        <v>585</v>
      </c>
      <c r="B311" s="6" t="n">
        <v>1</v>
      </c>
      <c r="C311" s="6" t="s">
        <v>20</v>
      </c>
      <c r="D311" s="6" t="n">
        <v>10</v>
      </c>
      <c r="E311" s="6" t="s">
        <v>86</v>
      </c>
      <c r="F311" s="6" t="s">
        <v>87</v>
      </c>
      <c r="G311" s="6" t="s">
        <v>262</v>
      </c>
      <c r="H311" s="7" t="s">
        <v>367</v>
      </c>
      <c r="I311" s="6" t="s">
        <v>90</v>
      </c>
      <c r="J311" s="6"/>
      <c r="K311" s="7" t="s">
        <v>587</v>
      </c>
      <c r="L311" s="6" t="n">
        <f aca="false">MAX(1,ROUND(0.3*Inputs!$B$4*Inputs!$B$5^(B311-1)*INDEX(Inputs!$C$15:$C$23,MATCH("phishing",Inputs!$A$15:$A$23,0))*Inputs!$B$7*Inputs!$B$6^(D311-1)/Inputs!$B$12,0))</f>
        <v>43</v>
      </c>
      <c r="M311" s="6" t="s">
        <v>91</v>
      </c>
      <c r="N311" s="6" t="n">
        <v>1</v>
      </c>
      <c r="O311" s="6" t="s">
        <v>588</v>
      </c>
      <c r="P311" s="7"/>
      <c r="Q311" s="6" t="s">
        <v>620</v>
      </c>
      <c r="R311" s="8" t="b">
        <f aca="false">TRUE()</f>
        <v>1</v>
      </c>
      <c r="S311" s="6" t="s">
        <v>93</v>
      </c>
    </row>
    <row r="312" customFormat="false" ht="35.05" hidden="false" customHeight="false" outlineLevel="0" collapsed="false">
      <c r="A312" s="2" t="s">
        <v>585</v>
      </c>
      <c r="B312" s="2" t="n">
        <v>2</v>
      </c>
      <c r="C312" s="2" t="s">
        <v>94</v>
      </c>
      <c r="D312" s="2" t="n">
        <v>1</v>
      </c>
      <c r="E312" s="2" t="s">
        <v>95</v>
      </c>
      <c r="F312" s="2" t="s">
        <v>22</v>
      </c>
      <c r="G312" s="2" t="s">
        <v>225</v>
      </c>
      <c r="H312" s="3" t="s">
        <v>586</v>
      </c>
      <c r="I312" s="2" t="s">
        <v>266</v>
      </c>
      <c r="J312" s="2" t="s">
        <v>267</v>
      </c>
      <c r="K312" s="3" t="s">
        <v>587</v>
      </c>
      <c r="L312" s="2" t="n">
        <f aca="false">MAX(1,ROUND(0.7*Inputs!$B$4*Inputs!$B$5^(B312-1)*INDEX(Inputs!$C$15:$C$23,MATCH("phishing",Inputs!$A$15:$A$23,0))*Inputs!$B$7*Inputs!$B$6^(D312-1)/Inputs!$B$12,0))</f>
        <v>31</v>
      </c>
      <c r="M312" s="2"/>
      <c r="N312" s="2"/>
      <c r="O312" s="2" t="s">
        <v>588</v>
      </c>
      <c r="P312" s="3"/>
      <c r="Q312" s="2" t="s">
        <v>589</v>
      </c>
      <c r="R312" s="2" t="n">
        <v>0.25</v>
      </c>
      <c r="S312" s="2" t="s">
        <v>233</v>
      </c>
    </row>
    <row r="313" customFormat="false" ht="15" hidden="false" customHeight="false" outlineLevel="0" collapsed="false">
      <c r="A313" s="2" t="s">
        <v>585</v>
      </c>
      <c r="B313" s="2" t="n">
        <v>2</v>
      </c>
      <c r="C313" s="2" t="s">
        <v>94</v>
      </c>
      <c r="D313" s="2" t="n">
        <v>2</v>
      </c>
      <c r="E313" s="2" t="s">
        <v>99</v>
      </c>
      <c r="F313" s="2" t="s">
        <v>22</v>
      </c>
      <c r="G313" s="2" t="s">
        <v>225</v>
      </c>
      <c r="H313" s="3" t="s">
        <v>590</v>
      </c>
      <c r="I313" s="2" t="s">
        <v>266</v>
      </c>
      <c r="J313" s="2" t="s">
        <v>268</v>
      </c>
      <c r="K313" s="3" t="s">
        <v>587</v>
      </c>
      <c r="L313" s="2" t="n">
        <f aca="false">MAX(1,ROUND(0.7*Inputs!$B$4*Inputs!$B$5^(B313-1)*INDEX(Inputs!$C$15:$C$23,MATCH("phishing",Inputs!$A$15:$A$23,0))*Inputs!$B$7*Inputs!$B$6^(D313-1)/Inputs!$B$12,0))</f>
        <v>36</v>
      </c>
      <c r="M313" s="2"/>
      <c r="N313" s="2"/>
      <c r="O313" s="2" t="s">
        <v>588</v>
      </c>
      <c r="P313" s="3"/>
      <c r="Q313" s="2" t="s">
        <v>589</v>
      </c>
      <c r="R313" s="2" t="n">
        <v>0.25</v>
      </c>
      <c r="S313" s="2" t="s">
        <v>267</v>
      </c>
    </row>
    <row r="314" customFormat="false" ht="15" hidden="false" customHeight="false" outlineLevel="0" collapsed="false">
      <c r="A314" s="2" t="s">
        <v>585</v>
      </c>
      <c r="B314" s="2" t="n">
        <v>2</v>
      </c>
      <c r="C314" s="2" t="s">
        <v>94</v>
      </c>
      <c r="D314" s="2" t="n">
        <v>3</v>
      </c>
      <c r="E314" s="2" t="s">
        <v>101</v>
      </c>
      <c r="F314" s="2" t="s">
        <v>22</v>
      </c>
      <c r="G314" s="2" t="s">
        <v>225</v>
      </c>
      <c r="H314" s="3" t="s">
        <v>590</v>
      </c>
      <c r="I314" s="2" t="s">
        <v>266</v>
      </c>
      <c r="J314" s="2" t="s">
        <v>269</v>
      </c>
      <c r="K314" s="3" t="s">
        <v>587</v>
      </c>
      <c r="L314" s="2" t="n">
        <f aca="false">MAX(1,ROUND(0.7*Inputs!$B$4*Inputs!$B$5^(B314-1)*INDEX(Inputs!$C$15:$C$23,MATCH("phishing",Inputs!$A$15:$A$23,0))*Inputs!$B$7*Inputs!$B$6^(D314-1)/Inputs!$B$12,0))</f>
        <v>41</v>
      </c>
      <c r="M314" s="2"/>
      <c r="N314" s="2"/>
      <c r="O314" s="2" t="s">
        <v>588</v>
      </c>
      <c r="P314" s="3"/>
      <c r="Q314" s="2" t="s">
        <v>589</v>
      </c>
      <c r="R314" s="2" t="n">
        <v>0.25</v>
      </c>
      <c r="S314" s="2" t="s">
        <v>268</v>
      </c>
    </row>
    <row r="315" customFormat="false" ht="35.05" hidden="false" customHeight="false" outlineLevel="0" collapsed="false">
      <c r="A315" s="2" t="s">
        <v>585</v>
      </c>
      <c r="B315" s="2" t="n">
        <v>2</v>
      </c>
      <c r="C315" s="2" t="s">
        <v>94</v>
      </c>
      <c r="D315" s="2" t="n">
        <v>4</v>
      </c>
      <c r="E315" s="2" t="s">
        <v>103</v>
      </c>
      <c r="F315" s="2" t="s">
        <v>22</v>
      </c>
      <c r="G315" s="2" t="s">
        <v>234</v>
      </c>
      <c r="H315" s="3" t="s">
        <v>591</v>
      </c>
      <c r="I315" s="2" t="s">
        <v>592</v>
      </c>
      <c r="J315" s="2" t="s">
        <v>621</v>
      </c>
      <c r="K315" s="3" t="s">
        <v>587</v>
      </c>
      <c r="L315" s="2" t="n">
        <f aca="false">MAX(1,ROUND(0.7*Inputs!$B$4*Inputs!$B$5^(B315-1)*INDEX(Inputs!$C$15:$C$23,MATCH("phishing",Inputs!$A$15:$A$23,0))*Inputs!$B$7*Inputs!$B$6^(D315-1)/Inputs!$B$12,0))</f>
        <v>48</v>
      </c>
      <c r="M315" s="2"/>
      <c r="N315" s="2"/>
      <c r="O315" s="2" t="s">
        <v>588</v>
      </c>
      <c r="P315" s="3"/>
      <c r="Q315" s="2" t="s">
        <v>594</v>
      </c>
      <c r="R315" s="2" t="n">
        <v>0.016667</v>
      </c>
      <c r="S315" s="2" t="s">
        <v>597</v>
      </c>
    </row>
    <row r="316" customFormat="false" ht="23.85" hidden="false" customHeight="false" outlineLevel="0" collapsed="false">
      <c r="A316" s="2" t="s">
        <v>585</v>
      </c>
      <c r="B316" s="2" t="n">
        <v>2</v>
      </c>
      <c r="C316" s="2" t="s">
        <v>94</v>
      </c>
      <c r="D316" s="2" t="n">
        <v>5</v>
      </c>
      <c r="E316" s="2" t="s">
        <v>105</v>
      </c>
      <c r="F316" s="2" t="s">
        <v>22</v>
      </c>
      <c r="G316" s="2" t="s">
        <v>234</v>
      </c>
      <c r="H316" s="3" t="s">
        <v>596</v>
      </c>
      <c r="I316" s="2" t="s">
        <v>592</v>
      </c>
      <c r="J316" s="2" t="s">
        <v>622</v>
      </c>
      <c r="K316" s="3" t="s">
        <v>587</v>
      </c>
      <c r="L316" s="2" t="n">
        <f aca="false">MAX(1,ROUND(0.7*Inputs!$B$4*Inputs!$B$5^(B316-1)*INDEX(Inputs!$C$15:$C$23,MATCH("phishing",Inputs!$A$15:$A$23,0))*Inputs!$B$7*Inputs!$B$6^(D316-1)/Inputs!$B$12,0))</f>
        <v>55</v>
      </c>
      <c r="M316" s="2"/>
      <c r="N316" s="2"/>
      <c r="O316" s="2" t="s">
        <v>588</v>
      </c>
      <c r="P316" s="3"/>
      <c r="Q316" s="2" t="s">
        <v>594</v>
      </c>
      <c r="R316" s="2" t="n">
        <v>0.016667</v>
      </c>
      <c r="S316" s="2" t="s">
        <v>621</v>
      </c>
    </row>
    <row r="317" customFormat="false" ht="23.85" hidden="false" customHeight="false" outlineLevel="0" collapsed="false">
      <c r="A317" s="2" t="s">
        <v>585</v>
      </c>
      <c r="B317" s="2" t="n">
        <v>2</v>
      </c>
      <c r="C317" s="2" t="s">
        <v>94</v>
      </c>
      <c r="D317" s="2" t="n">
        <v>6</v>
      </c>
      <c r="E317" s="2" t="s">
        <v>107</v>
      </c>
      <c r="F317" s="2" t="s">
        <v>22</v>
      </c>
      <c r="G317" s="2" t="s">
        <v>598</v>
      </c>
      <c r="H317" s="3" t="s">
        <v>599</v>
      </c>
      <c r="I317" s="2" t="s">
        <v>41</v>
      </c>
      <c r="J317" s="2" t="s">
        <v>623</v>
      </c>
      <c r="K317" s="3" t="s">
        <v>587</v>
      </c>
      <c r="L317" s="2" t="n">
        <f aca="false">MAX(1,ROUND(0.7*Inputs!$B$4*Inputs!$B$5^(B317-1)*INDEX(Inputs!$C$15:$C$23,MATCH("phishing",Inputs!$A$15:$A$23,0))*Inputs!$B$7*Inputs!$B$6^(D317-1)/Inputs!$B$12,0))</f>
        <v>63</v>
      </c>
      <c r="M317" s="2"/>
      <c r="N317" s="2"/>
      <c r="O317" s="2" t="s">
        <v>588</v>
      </c>
      <c r="P317" s="3"/>
      <c r="Q317" s="2" t="s">
        <v>601</v>
      </c>
      <c r="R317" s="2" t="n">
        <v>1</v>
      </c>
      <c r="S317" s="2" t="s">
        <v>600</v>
      </c>
    </row>
    <row r="318" customFormat="false" ht="15" hidden="false" customHeight="false" outlineLevel="0" collapsed="false">
      <c r="A318" s="2" t="s">
        <v>585</v>
      </c>
      <c r="B318" s="2" t="n">
        <v>2</v>
      </c>
      <c r="C318" s="2" t="s">
        <v>94</v>
      </c>
      <c r="D318" s="2" t="n">
        <v>7</v>
      </c>
      <c r="E318" s="2" t="s">
        <v>109</v>
      </c>
      <c r="F318" s="2" t="s">
        <v>22</v>
      </c>
      <c r="G318" s="2" t="s">
        <v>603</v>
      </c>
      <c r="H318" s="3" t="s">
        <v>604</v>
      </c>
      <c r="I318" s="2" t="s">
        <v>605</v>
      </c>
      <c r="J318" s="2" t="s">
        <v>624</v>
      </c>
      <c r="K318" s="3" t="s">
        <v>587</v>
      </c>
      <c r="L318" s="2" t="n">
        <f aca="false">MAX(1,ROUND(0.7*Inputs!$B$4*Inputs!$B$5^(B318-1)*INDEX(Inputs!$C$15:$C$23,MATCH("phishing",Inputs!$A$15:$A$23,0))*Inputs!$B$7*Inputs!$B$6^(D318-1)/Inputs!$B$12,0))</f>
        <v>72</v>
      </c>
      <c r="M318" s="2"/>
      <c r="N318" s="2"/>
      <c r="O318" s="2" t="s">
        <v>588</v>
      </c>
      <c r="P318" s="3"/>
      <c r="Q318" s="2" t="s">
        <v>607</v>
      </c>
      <c r="R318" s="2" t="n">
        <v>0.05</v>
      </c>
      <c r="S318" s="2" t="s">
        <v>606</v>
      </c>
    </row>
    <row r="319" customFormat="false" ht="15" hidden="false" customHeight="false" outlineLevel="0" collapsed="false">
      <c r="A319" s="4" t="s">
        <v>585</v>
      </c>
      <c r="B319" s="4" t="n">
        <v>2</v>
      </c>
      <c r="C319" s="4" t="s">
        <v>94</v>
      </c>
      <c r="D319" s="4" t="n">
        <v>8</v>
      </c>
      <c r="E319" s="4" t="s">
        <v>111</v>
      </c>
      <c r="F319" s="4" t="s">
        <v>72</v>
      </c>
      <c r="G319" s="4" t="s">
        <v>609</v>
      </c>
      <c r="H319" s="5" t="s">
        <v>610</v>
      </c>
      <c r="I319" s="4" t="s">
        <v>605</v>
      </c>
      <c r="J319" s="4" t="s">
        <v>625</v>
      </c>
      <c r="K319" s="5" t="s">
        <v>587</v>
      </c>
      <c r="L319" s="4" t="n">
        <f aca="false">MAX(1,ROUND(0.7*Inputs!$B$4*Inputs!$B$5^(B319-1)*INDEX(Inputs!$C$15:$C$23,MATCH("phishing",Inputs!$A$15:$A$23,0))*Inputs!$B$7*Inputs!$B$6^(D319-1)/Inputs!$B$12,0))</f>
        <v>83</v>
      </c>
      <c r="M319" s="4"/>
      <c r="N319" s="4"/>
      <c r="O319" s="4" t="s">
        <v>588</v>
      </c>
      <c r="P319" s="5"/>
      <c r="Q319" s="4" t="s">
        <v>612</v>
      </c>
      <c r="R319" s="4" t="n">
        <v>0.05</v>
      </c>
      <c r="S319" s="4" t="s">
        <v>611</v>
      </c>
    </row>
    <row r="320" customFormat="false" ht="23.85" hidden="false" customHeight="false" outlineLevel="0" collapsed="false">
      <c r="A320" s="4" t="s">
        <v>585</v>
      </c>
      <c r="B320" s="4" t="n">
        <v>2</v>
      </c>
      <c r="C320" s="4" t="s">
        <v>94</v>
      </c>
      <c r="D320" s="4" t="n">
        <v>9</v>
      </c>
      <c r="E320" s="4" t="s">
        <v>113</v>
      </c>
      <c r="F320" s="4" t="s">
        <v>72</v>
      </c>
      <c r="G320" s="4" t="s">
        <v>614</v>
      </c>
      <c r="H320" s="5" t="s">
        <v>615</v>
      </c>
      <c r="I320" s="4" t="s">
        <v>616</v>
      </c>
      <c r="J320" s="4" t="s">
        <v>626</v>
      </c>
      <c r="K320" s="5" t="s">
        <v>587</v>
      </c>
      <c r="L320" s="4" t="n">
        <f aca="false">MAX(1,ROUND(0.7*Inputs!$B$4*Inputs!$B$5^(B320-1)*INDEX(Inputs!$C$15:$C$23,MATCH("phishing",Inputs!$A$15:$A$23,0))*Inputs!$B$7*Inputs!$B$6^(D320-1)/Inputs!$B$12,0))</f>
        <v>96</v>
      </c>
      <c r="M320" s="4"/>
      <c r="N320" s="4"/>
      <c r="O320" s="4" t="s">
        <v>588</v>
      </c>
      <c r="P320" s="5"/>
      <c r="Q320" s="4" t="s">
        <v>618</v>
      </c>
      <c r="R320" s="4" t="n">
        <v>0.05</v>
      </c>
      <c r="S320" s="4" t="s">
        <v>617</v>
      </c>
    </row>
    <row r="321" customFormat="false" ht="15" hidden="false" customHeight="false" outlineLevel="0" collapsed="false">
      <c r="A321" s="6" t="s">
        <v>585</v>
      </c>
      <c r="B321" s="6" t="n">
        <v>2</v>
      </c>
      <c r="C321" s="6" t="s">
        <v>94</v>
      </c>
      <c r="D321" s="6" t="n">
        <v>10</v>
      </c>
      <c r="E321" s="6" t="s">
        <v>115</v>
      </c>
      <c r="F321" s="6" t="s">
        <v>87</v>
      </c>
      <c r="G321" s="6" t="s">
        <v>627</v>
      </c>
      <c r="H321" s="7" t="s">
        <v>628</v>
      </c>
      <c r="I321" s="6" t="s">
        <v>90</v>
      </c>
      <c r="J321" s="6"/>
      <c r="K321" s="7" t="s">
        <v>587</v>
      </c>
      <c r="L321" s="6" t="n">
        <f aca="false">MAX(1,ROUND(0.7*Inputs!$B$4*Inputs!$B$5^(B321-1)*INDEX(Inputs!$C$15:$C$23,MATCH("phishing",Inputs!$A$15:$A$23,0))*Inputs!$B$7*Inputs!$B$6^(D321-1)/Inputs!$B$12,0))</f>
        <v>110</v>
      </c>
      <c r="M321" s="6" t="s">
        <v>118</v>
      </c>
      <c r="N321" s="6" t="n">
        <v>1</v>
      </c>
      <c r="O321" s="6" t="s">
        <v>588</v>
      </c>
      <c r="P321" s="7"/>
      <c r="Q321" s="6" t="s">
        <v>629</v>
      </c>
      <c r="R321" s="8" t="b">
        <f aca="false">TRUE()</f>
        <v>1</v>
      </c>
      <c r="S321" s="6" t="s">
        <v>93</v>
      </c>
    </row>
    <row r="322" customFormat="false" ht="35.05" hidden="false" customHeight="false" outlineLevel="0" collapsed="false">
      <c r="A322" s="2" t="s">
        <v>585</v>
      </c>
      <c r="B322" s="2" t="n">
        <v>3</v>
      </c>
      <c r="C322" s="2" t="s">
        <v>120</v>
      </c>
      <c r="D322" s="2" t="n">
        <v>1</v>
      </c>
      <c r="E322" s="2" t="s">
        <v>121</v>
      </c>
      <c r="F322" s="2" t="s">
        <v>22</v>
      </c>
      <c r="G322" s="2" t="s">
        <v>225</v>
      </c>
      <c r="H322" s="3" t="s">
        <v>586</v>
      </c>
      <c r="I322" s="2" t="s">
        <v>280</v>
      </c>
      <c r="J322" s="2" t="s">
        <v>281</v>
      </c>
      <c r="K322" s="3" t="s">
        <v>587</v>
      </c>
      <c r="L322" s="2" t="n">
        <f aca="false">MAX(1,ROUND(0.85*Inputs!$B$4*Inputs!$B$5^(B322-1)*INDEX(Inputs!$C$15:$C$23,MATCH("phishing",Inputs!$A$15:$A$23,0))*Inputs!$B$7*Inputs!$B$6^(D322-1)/Inputs!$B$12,0))</f>
        <v>42</v>
      </c>
      <c r="M322" s="2"/>
      <c r="N322" s="2"/>
      <c r="O322" s="2" t="s">
        <v>588</v>
      </c>
      <c r="P322" s="3"/>
      <c r="Q322" s="2" t="s">
        <v>589</v>
      </c>
      <c r="R322" s="2" t="n">
        <v>0.375</v>
      </c>
      <c r="S322" s="2" t="s">
        <v>269</v>
      </c>
    </row>
    <row r="323" customFormat="false" ht="15" hidden="false" customHeight="false" outlineLevel="0" collapsed="false">
      <c r="A323" s="2" t="s">
        <v>585</v>
      </c>
      <c r="B323" s="2" t="n">
        <v>3</v>
      </c>
      <c r="C323" s="2" t="s">
        <v>120</v>
      </c>
      <c r="D323" s="2" t="n">
        <v>2</v>
      </c>
      <c r="E323" s="2" t="s">
        <v>125</v>
      </c>
      <c r="F323" s="2" t="s">
        <v>22</v>
      </c>
      <c r="G323" s="2" t="s">
        <v>225</v>
      </c>
      <c r="H323" s="3" t="s">
        <v>590</v>
      </c>
      <c r="I323" s="2" t="s">
        <v>280</v>
      </c>
      <c r="J323" s="2" t="s">
        <v>282</v>
      </c>
      <c r="K323" s="3" t="s">
        <v>587</v>
      </c>
      <c r="L323" s="2" t="n">
        <f aca="false">MAX(1,ROUND(0.85*Inputs!$B$4*Inputs!$B$5^(B323-1)*INDEX(Inputs!$C$15:$C$23,MATCH("phishing",Inputs!$A$15:$A$23,0))*Inputs!$B$7*Inputs!$B$6^(D323-1)/Inputs!$B$12,0))</f>
        <v>48</v>
      </c>
      <c r="M323" s="2"/>
      <c r="N323" s="2"/>
      <c r="O323" s="2" t="s">
        <v>588</v>
      </c>
      <c r="P323" s="3"/>
      <c r="Q323" s="2" t="s">
        <v>589</v>
      </c>
      <c r="R323" s="2" t="n">
        <v>0.375</v>
      </c>
      <c r="S323" s="2" t="s">
        <v>281</v>
      </c>
    </row>
    <row r="324" customFormat="false" ht="15" hidden="false" customHeight="false" outlineLevel="0" collapsed="false">
      <c r="A324" s="2" t="s">
        <v>585</v>
      </c>
      <c r="B324" s="2" t="n">
        <v>3</v>
      </c>
      <c r="C324" s="2" t="s">
        <v>120</v>
      </c>
      <c r="D324" s="2" t="n">
        <v>3</v>
      </c>
      <c r="E324" s="2" t="s">
        <v>127</v>
      </c>
      <c r="F324" s="2" t="s">
        <v>22</v>
      </c>
      <c r="G324" s="2" t="s">
        <v>225</v>
      </c>
      <c r="H324" s="3" t="s">
        <v>590</v>
      </c>
      <c r="I324" s="2" t="s">
        <v>280</v>
      </c>
      <c r="J324" s="2" t="s">
        <v>283</v>
      </c>
      <c r="K324" s="3" t="s">
        <v>587</v>
      </c>
      <c r="L324" s="2" t="n">
        <f aca="false">MAX(1,ROUND(0.85*Inputs!$B$4*Inputs!$B$5^(B324-1)*INDEX(Inputs!$C$15:$C$23,MATCH("phishing",Inputs!$A$15:$A$23,0))*Inputs!$B$7*Inputs!$B$6^(D324-1)/Inputs!$B$12,0))</f>
        <v>55</v>
      </c>
      <c r="M324" s="2"/>
      <c r="N324" s="2"/>
      <c r="O324" s="2" t="s">
        <v>588</v>
      </c>
      <c r="P324" s="3"/>
      <c r="Q324" s="2" t="s">
        <v>589</v>
      </c>
      <c r="R324" s="2" t="n">
        <v>0.375</v>
      </c>
      <c r="S324" s="2" t="s">
        <v>282</v>
      </c>
    </row>
    <row r="325" customFormat="false" ht="35.05" hidden="false" customHeight="false" outlineLevel="0" collapsed="false">
      <c r="A325" s="2" t="s">
        <v>585</v>
      </c>
      <c r="B325" s="2" t="n">
        <v>3</v>
      </c>
      <c r="C325" s="2" t="s">
        <v>120</v>
      </c>
      <c r="D325" s="2" t="n">
        <v>4</v>
      </c>
      <c r="E325" s="2" t="s">
        <v>129</v>
      </c>
      <c r="F325" s="2" t="s">
        <v>22</v>
      </c>
      <c r="G325" s="2" t="s">
        <v>234</v>
      </c>
      <c r="H325" s="3" t="s">
        <v>591</v>
      </c>
      <c r="I325" s="2" t="s">
        <v>592</v>
      </c>
      <c r="J325" s="2" t="s">
        <v>630</v>
      </c>
      <c r="K325" s="3" t="s">
        <v>587</v>
      </c>
      <c r="L325" s="2" t="n">
        <f aca="false">MAX(1,ROUND(0.85*Inputs!$B$4*Inputs!$B$5^(B325-1)*INDEX(Inputs!$C$15:$C$23,MATCH("phishing",Inputs!$A$15:$A$23,0))*Inputs!$B$7*Inputs!$B$6^(D325-1)/Inputs!$B$12,0))</f>
        <v>64</v>
      </c>
      <c r="M325" s="2"/>
      <c r="N325" s="2"/>
      <c r="O325" s="2" t="s">
        <v>588</v>
      </c>
      <c r="P325" s="3"/>
      <c r="Q325" s="2" t="s">
        <v>594</v>
      </c>
      <c r="R325" s="2" t="n">
        <v>0.016667</v>
      </c>
      <c r="S325" s="2" t="s">
        <v>622</v>
      </c>
    </row>
    <row r="326" customFormat="false" ht="23.85" hidden="false" customHeight="false" outlineLevel="0" collapsed="false">
      <c r="A326" s="2" t="s">
        <v>585</v>
      </c>
      <c r="B326" s="2" t="n">
        <v>3</v>
      </c>
      <c r="C326" s="2" t="s">
        <v>120</v>
      </c>
      <c r="D326" s="2" t="n">
        <v>5</v>
      </c>
      <c r="E326" s="2" t="s">
        <v>131</v>
      </c>
      <c r="F326" s="2" t="s">
        <v>22</v>
      </c>
      <c r="G326" s="2" t="s">
        <v>234</v>
      </c>
      <c r="H326" s="3" t="s">
        <v>596</v>
      </c>
      <c r="I326" s="2" t="s">
        <v>592</v>
      </c>
      <c r="J326" s="2" t="s">
        <v>631</v>
      </c>
      <c r="K326" s="3" t="s">
        <v>587</v>
      </c>
      <c r="L326" s="2" t="n">
        <f aca="false">MAX(1,ROUND(0.85*Inputs!$B$4*Inputs!$B$5^(B326-1)*INDEX(Inputs!$C$15:$C$23,MATCH("phishing",Inputs!$A$15:$A$23,0))*Inputs!$B$7*Inputs!$B$6^(D326-1)/Inputs!$B$12,0))</f>
        <v>73</v>
      </c>
      <c r="M326" s="2"/>
      <c r="N326" s="2"/>
      <c r="O326" s="2" t="s">
        <v>588</v>
      </c>
      <c r="P326" s="3"/>
      <c r="Q326" s="2" t="s">
        <v>594</v>
      </c>
      <c r="R326" s="2" t="n">
        <v>0.016667</v>
      </c>
      <c r="S326" s="2" t="s">
        <v>630</v>
      </c>
    </row>
    <row r="327" customFormat="false" ht="23.85" hidden="false" customHeight="false" outlineLevel="0" collapsed="false">
      <c r="A327" s="2" t="s">
        <v>585</v>
      </c>
      <c r="B327" s="2" t="n">
        <v>3</v>
      </c>
      <c r="C327" s="2" t="s">
        <v>120</v>
      </c>
      <c r="D327" s="2" t="n">
        <v>6</v>
      </c>
      <c r="E327" s="2" t="s">
        <v>133</v>
      </c>
      <c r="F327" s="2" t="s">
        <v>22</v>
      </c>
      <c r="G327" s="2" t="s">
        <v>598</v>
      </c>
      <c r="H327" s="3" t="s">
        <v>599</v>
      </c>
      <c r="I327" s="2" t="s">
        <v>41</v>
      </c>
      <c r="J327" s="2" t="s">
        <v>632</v>
      </c>
      <c r="K327" s="3" t="s">
        <v>587</v>
      </c>
      <c r="L327" s="2" t="n">
        <f aca="false">MAX(1,ROUND(0.85*Inputs!$B$4*Inputs!$B$5^(B327-1)*INDEX(Inputs!$C$15:$C$23,MATCH("phishing",Inputs!$A$15:$A$23,0))*Inputs!$B$7*Inputs!$B$6^(D327-1)/Inputs!$B$12,0))</f>
        <v>84</v>
      </c>
      <c r="M327" s="2"/>
      <c r="N327" s="2"/>
      <c r="O327" s="2" t="s">
        <v>588</v>
      </c>
      <c r="P327" s="3"/>
      <c r="Q327" s="2" t="s">
        <v>601</v>
      </c>
      <c r="R327" s="2" t="n">
        <v>1</v>
      </c>
      <c r="S327" s="2" t="s">
        <v>623</v>
      </c>
    </row>
    <row r="328" customFormat="false" ht="15" hidden="false" customHeight="false" outlineLevel="0" collapsed="false">
      <c r="A328" s="2" t="s">
        <v>585</v>
      </c>
      <c r="B328" s="2" t="n">
        <v>3</v>
      </c>
      <c r="C328" s="2" t="s">
        <v>120</v>
      </c>
      <c r="D328" s="2" t="n">
        <v>7</v>
      </c>
      <c r="E328" s="2" t="s">
        <v>135</v>
      </c>
      <c r="F328" s="2" t="s">
        <v>22</v>
      </c>
      <c r="G328" s="2" t="s">
        <v>603</v>
      </c>
      <c r="H328" s="3" t="s">
        <v>604</v>
      </c>
      <c r="I328" s="2" t="s">
        <v>605</v>
      </c>
      <c r="J328" s="2" t="s">
        <v>633</v>
      </c>
      <c r="K328" s="3" t="s">
        <v>587</v>
      </c>
      <c r="L328" s="2" t="n">
        <f aca="false">MAX(1,ROUND(0.85*Inputs!$B$4*Inputs!$B$5^(B328-1)*INDEX(Inputs!$C$15:$C$23,MATCH("phishing",Inputs!$A$15:$A$23,0))*Inputs!$B$7*Inputs!$B$6^(D328-1)/Inputs!$B$12,0))</f>
        <v>97</v>
      </c>
      <c r="M328" s="2"/>
      <c r="N328" s="2"/>
      <c r="O328" s="2" t="s">
        <v>588</v>
      </c>
      <c r="P328" s="3"/>
      <c r="Q328" s="2" t="s">
        <v>607</v>
      </c>
      <c r="R328" s="2" t="n">
        <v>0.05</v>
      </c>
      <c r="S328" s="2" t="s">
        <v>624</v>
      </c>
    </row>
    <row r="329" customFormat="false" ht="15" hidden="false" customHeight="false" outlineLevel="0" collapsed="false">
      <c r="A329" s="4" t="s">
        <v>585</v>
      </c>
      <c r="B329" s="4" t="n">
        <v>3</v>
      </c>
      <c r="C329" s="4" t="s">
        <v>120</v>
      </c>
      <c r="D329" s="4" t="n">
        <v>8</v>
      </c>
      <c r="E329" s="4" t="s">
        <v>137</v>
      </c>
      <c r="F329" s="4" t="s">
        <v>72</v>
      </c>
      <c r="G329" s="4" t="s">
        <v>609</v>
      </c>
      <c r="H329" s="5" t="s">
        <v>610</v>
      </c>
      <c r="I329" s="4" t="s">
        <v>605</v>
      </c>
      <c r="J329" s="4" t="s">
        <v>634</v>
      </c>
      <c r="K329" s="5" t="s">
        <v>587</v>
      </c>
      <c r="L329" s="4" t="n">
        <f aca="false">MAX(1,ROUND(0.85*Inputs!$B$4*Inputs!$B$5^(B329-1)*INDEX(Inputs!$C$15:$C$23,MATCH("phishing",Inputs!$A$15:$A$23,0))*Inputs!$B$7*Inputs!$B$6^(D329-1)/Inputs!$B$12,0))</f>
        <v>111</v>
      </c>
      <c r="M329" s="4"/>
      <c r="N329" s="4"/>
      <c r="O329" s="4" t="s">
        <v>588</v>
      </c>
      <c r="P329" s="5"/>
      <c r="Q329" s="4" t="s">
        <v>612</v>
      </c>
      <c r="R329" s="4" t="n">
        <v>0.05</v>
      </c>
      <c r="S329" s="4" t="s">
        <v>625</v>
      </c>
    </row>
    <row r="330" customFormat="false" ht="23.85" hidden="false" customHeight="false" outlineLevel="0" collapsed="false">
      <c r="A330" s="4" t="s">
        <v>585</v>
      </c>
      <c r="B330" s="4" t="n">
        <v>3</v>
      </c>
      <c r="C330" s="4" t="s">
        <v>120</v>
      </c>
      <c r="D330" s="4" t="n">
        <v>9</v>
      </c>
      <c r="E330" s="4" t="s">
        <v>139</v>
      </c>
      <c r="F330" s="4" t="s">
        <v>72</v>
      </c>
      <c r="G330" s="4" t="s">
        <v>614</v>
      </c>
      <c r="H330" s="5" t="s">
        <v>615</v>
      </c>
      <c r="I330" s="4" t="s">
        <v>616</v>
      </c>
      <c r="J330" s="4" t="s">
        <v>635</v>
      </c>
      <c r="K330" s="5" t="s">
        <v>587</v>
      </c>
      <c r="L330" s="4" t="n">
        <f aca="false">MAX(1,ROUND(0.85*Inputs!$B$4*Inputs!$B$5^(B330-1)*INDEX(Inputs!$C$15:$C$23,MATCH("phishing",Inputs!$A$15:$A$23,0))*Inputs!$B$7*Inputs!$B$6^(D330-1)/Inputs!$B$12,0))</f>
        <v>128</v>
      </c>
      <c r="M330" s="4"/>
      <c r="N330" s="4"/>
      <c r="O330" s="4" t="s">
        <v>588</v>
      </c>
      <c r="P330" s="5"/>
      <c r="Q330" s="4" t="s">
        <v>618</v>
      </c>
      <c r="R330" s="4" t="n">
        <v>0.05</v>
      </c>
      <c r="S330" s="4" t="s">
        <v>626</v>
      </c>
    </row>
    <row r="331" customFormat="false" ht="35.05" hidden="false" customHeight="false" outlineLevel="0" collapsed="false">
      <c r="A331" s="6" t="s">
        <v>585</v>
      </c>
      <c r="B331" s="6" t="n">
        <v>3</v>
      </c>
      <c r="C331" s="6" t="s">
        <v>120</v>
      </c>
      <c r="D331" s="6" t="n">
        <v>10</v>
      </c>
      <c r="E331" s="6" t="s">
        <v>141</v>
      </c>
      <c r="F331" s="6" t="s">
        <v>87</v>
      </c>
      <c r="G331" s="6" t="s">
        <v>636</v>
      </c>
      <c r="H331" s="7" t="s">
        <v>637</v>
      </c>
      <c r="I331" s="6" t="s">
        <v>90</v>
      </c>
      <c r="J331" s="6"/>
      <c r="K331" s="7" t="s">
        <v>587</v>
      </c>
      <c r="L331" s="6" t="n">
        <f aca="false">MAX(1,ROUND(0.85*Inputs!$B$4*Inputs!$B$5^(B331-1)*INDEX(Inputs!$C$15:$C$23,MATCH("phishing",Inputs!$A$15:$A$23,0))*Inputs!$B$7*Inputs!$B$6^(D331-1)/Inputs!$B$12,0))</f>
        <v>147</v>
      </c>
      <c r="M331" s="6" t="s">
        <v>144</v>
      </c>
      <c r="N331" s="6" t="n">
        <v>2</v>
      </c>
      <c r="O331" s="6" t="s">
        <v>588</v>
      </c>
      <c r="P331" s="7"/>
      <c r="Q331" s="6" t="s">
        <v>638</v>
      </c>
      <c r="R331" s="8" t="b">
        <f aca="false">TRUE()</f>
        <v>1</v>
      </c>
      <c r="S331" s="6" t="s">
        <v>93</v>
      </c>
    </row>
    <row r="332" customFormat="false" ht="35.05" hidden="false" customHeight="false" outlineLevel="0" collapsed="false">
      <c r="A332" s="2" t="s">
        <v>585</v>
      </c>
      <c r="B332" s="2" t="n">
        <v>4</v>
      </c>
      <c r="C332" s="2" t="s">
        <v>146</v>
      </c>
      <c r="D332" s="2" t="n">
        <v>1</v>
      </c>
      <c r="E332" s="2" t="s">
        <v>147</v>
      </c>
      <c r="F332" s="2" t="s">
        <v>22</v>
      </c>
      <c r="G332" s="2" t="s">
        <v>225</v>
      </c>
      <c r="H332" s="3" t="s">
        <v>586</v>
      </c>
      <c r="I332" s="2" t="s">
        <v>294</v>
      </c>
      <c r="J332" s="2" t="s">
        <v>295</v>
      </c>
      <c r="K332" s="3" t="s">
        <v>587</v>
      </c>
      <c r="L332" s="2" t="n">
        <f aca="false">MAX(1,ROUND(0.75*Inputs!$B$4*Inputs!$B$5^(B332-1)*INDEX(Inputs!$C$15:$C$23,MATCH("phishing",Inputs!$A$15:$A$23,0))*Inputs!$B$7*Inputs!$B$6^(D332-1)/Inputs!$B$12,0))</f>
        <v>41</v>
      </c>
      <c r="M332" s="2"/>
      <c r="N332" s="2"/>
      <c r="O332" s="2" t="s">
        <v>588</v>
      </c>
      <c r="P332" s="3"/>
      <c r="Q332" s="2" t="s">
        <v>589</v>
      </c>
      <c r="R332" s="2" t="n">
        <v>0.5625</v>
      </c>
      <c r="S332" s="2" t="s">
        <v>283</v>
      </c>
    </row>
    <row r="333" customFormat="false" ht="15" hidden="false" customHeight="false" outlineLevel="0" collapsed="false">
      <c r="A333" s="2" t="s">
        <v>585</v>
      </c>
      <c r="B333" s="2" t="n">
        <v>4</v>
      </c>
      <c r="C333" s="2" t="s">
        <v>146</v>
      </c>
      <c r="D333" s="2" t="n">
        <v>2</v>
      </c>
      <c r="E333" s="2" t="s">
        <v>151</v>
      </c>
      <c r="F333" s="2" t="s">
        <v>22</v>
      </c>
      <c r="G333" s="2" t="s">
        <v>225</v>
      </c>
      <c r="H333" s="3" t="s">
        <v>590</v>
      </c>
      <c r="I333" s="2" t="s">
        <v>294</v>
      </c>
      <c r="J333" s="2" t="s">
        <v>296</v>
      </c>
      <c r="K333" s="3" t="s">
        <v>587</v>
      </c>
      <c r="L333" s="2" t="n">
        <f aca="false">MAX(1,ROUND(0.75*Inputs!$B$4*Inputs!$B$5^(B333-1)*INDEX(Inputs!$C$15:$C$23,MATCH("phishing",Inputs!$A$15:$A$23,0))*Inputs!$B$7*Inputs!$B$6^(D333-1)/Inputs!$B$12,0))</f>
        <v>47</v>
      </c>
      <c r="M333" s="2"/>
      <c r="N333" s="2"/>
      <c r="O333" s="2" t="s">
        <v>588</v>
      </c>
      <c r="P333" s="3"/>
      <c r="Q333" s="2" t="s">
        <v>589</v>
      </c>
      <c r="R333" s="2" t="n">
        <v>0.5625</v>
      </c>
      <c r="S333" s="2" t="s">
        <v>295</v>
      </c>
    </row>
    <row r="334" customFormat="false" ht="15" hidden="false" customHeight="false" outlineLevel="0" collapsed="false">
      <c r="A334" s="2" t="s">
        <v>585</v>
      </c>
      <c r="B334" s="2" t="n">
        <v>4</v>
      </c>
      <c r="C334" s="2" t="s">
        <v>146</v>
      </c>
      <c r="D334" s="2" t="n">
        <v>3</v>
      </c>
      <c r="E334" s="2" t="s">
        <v>153</v>
      </c>
      <c r="F334" s="2" t="s">
        <v>22</v>
      </c>
      <c r="G334" s="2" t="s">
        <v>225</v>
      </c>
      <c r="H334" s="3" t="s">
        <v>590</v>
      </c>
      <c r="I334" s="2" t="s">
        <v>294</v>
      </c>
      <c r="J334" s="2" t="s">
        <v>297</v>
      </c>
      <c r="K334" s="3" t="s">
        <v>587</v>
      </c>
      <c r="L334" s="2" t="n">
        <f aca="false">MAX(1,ROUND(0.75*Inputs!$B$4*Inputs!$B$5^(B334-1)*INDEX(Inputs!$C$15:$C$23,MATCH("phishing",Inputs!$A$15:$A$23,0))*Inputs!$B$7*Inputs!$B$6^(D334-1)/Inputs!$B$12,0))</f>
        <v>54</v>
      </c>
      <c r="M334" s="2"/>
      <c r="N334" s="2"/>
      <c r="O334" s="2" t="s">
        <v>588</v>
      </c>
      <c r="P334" s="3"/>
      <c r="Q334" s="2" t="s">
        <v>589</v>
      </c>
      <c r="R334" s="2" t="n">
        <v>0.5625</v>
      </c>
      <c r="S334" s="2" t="s">
        <v>296</v>
      </c>
    </row>
    <row r="335" customFormat="false" ht="35.05" hidden="false" customHeight="false" outlineLevel="0" collapsed="false">
      <c r="A335" s="2" t="s">
        <v>585</v>
      </c>
      <c r="B335" s="2" t="n">
        <v>4</v>
      </c>
      <c r="C335" s="2" t="s">
        <v>146</v>
      </c>
      <c r="D335" s="2" t="n">
        <v>4</v>
      </c>
      <c r="E335" s="2" t="s">
        <v>155</v>
      </c>
      <c r="F335" s="2" t="s">
        <v>22</v>
      </c>
      <c r="G335" s="2" t="s">
        <v>234</v>
      </c>
      <c r="H335" s="3" t="s">
        <v>591</v>
      </c>
      <c r="I335" s="2" t="s">
        <v>592</v>
      </c>
      <c r="J335" s="2" t="s">
        <v>639</v>
      </c>
      <c r="K335" s="3" t="s">
        <v>587</v>
      </c>
      <c r="L335" s="2" t="n">
        <f aca="false">MAX(1,ROUND(0.75*Inputs!$B$4*Inputs!$B$5^(B335-1)*INDEX(Inputs!$C$15:$C$23,MATCH("phishing",Inputs!$A$15:$A$23,0))*Inputs!$B$7*Inputs!$B$6^(D335-1)/Inputs!$B$12,0))</f>
        <v>62</v>
      </c>
      <c r="M335" s="2"/>
      <c r="N335" s="2"/>
      <c r="O335" s="2" t="s">
        <v>588</v>
      </c>
      <c r="P335" s="3"/>
      <c r="Q335" s="2" t="s">
        <v>594</v>
      </c>
      <c r="R335" s="2" t="n">
        <v>0.016667</v>
      </c>
      <c r="S335" s="2" t="s">
        <v>631</v>
      </c>
    </row>
    <row r="336" customFormat="false" ht="23.85" hidden="false" customHeight="false" outlineLevel="0" collapsed="false">
      <c r="A336" s="2" t="s">
        <v>585</v>
      </c>
      <c r="B336" s="2" t="n">
        <v>4</v>
      </c>
      <c r="C336" s="2" t="s">
        <v>146</v>
      </c>
      <c r="D336" s="2" t="n">
        <v>5</v>
      </c>
      <c r="E336" s="2" t="s">
        <v>157</v>
      </c>
      <c r="F336" s="2" t="s">
        <v>22</v>
      </c>
      <c r="G336" s="2" t="s">
        <v>234</v>
      </c>
      <c r="H336" s="3" t="s">
        <v>596</v>
      </c>
      <c r="I336" s="2" t="s">
        <v>592</v>
      </c>
      <c r="J336" s="2" t="s">
        <v>640</v>
      </c>
      <c r="K336" s="3" t="s">
        <v>587</v>
      </c>
      <c r="L336" s="2" t="n">
        <f aca="false">MAX(1,ROUND(0.75*Inputs!$B$4*Inputs!$B$5^(B336-1)*INDEX(Inputs!$C$15:$C$23,MATCH("phishing",Inputs!$A$15:$A$23,0))*Inputs!$B$7*Inputs!$B$6^(D336-1)/Inputs!$B$12,0))</f>
        <v>71</v>
      </c>
      <c r="M336" s="2"/>
      <c r="N336" s="2"/>
      <c r="O336" s="2" t="s">
        <v>588</v>
      </c>
      <c r="P336" s="3"/>
      <c r="Q336" s="2" t="s">
        <v>594</v>
      </c>
      <c r="R336" s="2" t="n">
        <v>0.016667</v>
      </c>
      <c r="S336" s="2" t="s">
        <v>639</v>
      </c>
    </row>
    <row r="337" customFormat="false" ht="23.85" hidden="false" customHeight="false" outlineLevel="0" collapsed="false">
      <c r="A337" s="2" t="s">
        <v>585</v>
      </c>
      <c r="B337" s="2" t="n">
        <v>4</v>
      </c>
      <c r="C337" s="2" t="s">
        <v>146</v>
      </c>
      <c r="D337" s="2" t="n">
        <v>6</v>
      </c>
      <c r="E337" s="2" t="s">
        <v>159</v>
      </c>
      <c r="F337" s="2" t="s">
        <v>22</v>
      </c>
      <c r="G337" s="2" t="s">
        <v>598</v>
      </c>
      <c r="H337" s="3" t="s">
        <v>599</v>
      </c>
      <c r="I337" s="2" t="s">
        <v>41</v>
      </c>
      <c r="J337" s="2" t="s">
        <v>641</v>
      </c>
      <c r="K337" s="3" t="s">
        <v>587</v>
      </c>
      <c r="L337" s="2" t="n">
        <f aca="false">MAX(1,ROUND(0.75*Inputs!$B$4*Inputs!$B$5^(B337-1)*INDEX(Inputs!$C$15:$C$23,MATCH("phishing",Inputs!$A$15:$A$23,0))*Inputs!$B$7*Inputs!$B$6^(D337-1)/Inputs!$B$12,0))</f>
        <v>82</v>
      </c>
      <c r="M337" s="2"/>
      <c r="N337" s="2"/>
      <c r="O337" s="2" t="s">
        <v>588</v>
      </c>
      <c r="P337" s="3"/>
      <c r="Q337" s="2" t="s">
        <v>601</v>
      </c>
      <c r="R337" s="2" t="n">
        <v>1</v>
      </c>
      <c r="S337" s="2" t="s">
        <v>632</v>
      </c>
    </row>
    <row r="338" customFormat="false" ht="15" hidden="false" customHeight="false" outlineLevel="0" collapsed="false">
      <c r="A338" s="2" t="s">
        <v>585</v>
      </c>
      <c r="B338" s="2" t="n">
        <v>4</v>
      </c>
      <c r="C338" s="2" t="s">
        <v>146</v>
      </c>
      <c r="D338" s="2" t="n">
        <v>7</v>
      </c>
      <c r="E338" s="2" t="s">
        <v>161</v>
      </c>
      <c r="F338" s="2" t="s">
        <v>22</v>
      </c>
      <c r="G338" s="2" t="s">
        <v>603</v>
      </c>
      <c r="H338" s="3" t="s">
        <v>604</v>
      </c>
      <c r="I338" s="2" t="s">
        <v>605</v>
      </c>
      <c r="J338" s="2" t="s">
        <v>642</v>
      </c>
      <c r="K338" s="3" t="s">
        <v>587</v>
      </c>
      <c r="L338" s="2" t="n">
        <f aca="false">MAX(1,ROUND(0.75*Inputs!$B$4*Inputs!$B$5^(B338-1)*INDEX(Inputs!$C$15:$C$23,MATCH("phishing",Inputs!$A$15:$A$23,0))*Inputs!$B$7*Inputs!$B$6^(D338-1)/Inputs!$B$12,0))</f>
        <v>94</v>
      </c>
      <c r="M338" s="2"/>
      <c r="N338" s="2"/>
      <c r="O338" s="2" t="s">
        <v>588</v>
      </c>
      <c r="P338" s="3"/>
      <c r="Q338" s="2" t="s">
        <v>607</v>
      </c>
      <c r="R338" s="2" t="n">
        <v>0.05</v>
      </c>
      <c r="S338" s="2" t="s">
        <v>633</v>
      </c>
    </row>
    <row r="339" customFormat="false" ht="15" hidden="false" customHeight="false" outlineLevel="0" collapsed="false">
      <c r="A339" s="4" t="s">
        <v>585</v>
      </c>
      <c r="B339" s="4" t="n">
        <v>4</v>
      </c>
      <c r="C339" s="4" t="s">
        <v>146</v>
      </c>
      <c r="D339" s="4" t="n">
        <v>8</v>
      </c>
      <c r="E339" s="4" t="s">
        <v>163</v>
      </c>
      <c r="F339" s="4" t="s">
        <v>72</v>
      </c>
      <c r="G339" s="4" t="s">
        <v>609</v>
      </c>
      <c r="H339" s="5" t="s">
        <v>610</v>
      </c>
      <c r="I339" s="4" t="s">
        <v>605</v>
      </c>
      <c r="J339" s="4" t="s">
        <v>643</v>
      </c>
      <c r="K339" s="5" t="s">
        <v>587</v>
      </c>
      <c r="L339" s="4" t="n">
        <f aca="false">MAX(1,ROUND(0.75*Inputs!$B$4*Inputs!$B$5^(B339-1)*INDEX(Inputs!$C$15:$C$23,MATCH("phishing",Inputs!$A$15:$A$23,0))*Inputs!$B$7*Inputs!$B$6^(D339-1)/Inputs!$B$12,0))</f>
        <v>108</v>
      </c>
      <c r="M339" s="4"/>
      <c r="N339" s="4"/>
      <c r="O339" s="4" t="s">
        <v>588</v>
      </c>
      <c r="P339" s="5"/>
      <c r="Q339" s="4" t="s">
        <v>612</v>
      </c>
      <c r="R339" s="4" t="n">
        <v>0.05</v>
      </c>
      <c r="S339" s="4" t="s">
        <v>634</v>
      </c>
    </row>
    <row r="340" customFormat="false" ht="23.85" hidden="false" customHeight="false" outlineLevel="0" collapsed="false">
      <c r="A340" s="4" t="s">
        <v>585</v>
      </c>
      <c r="B340" s="4" t="n">
        <v>4</v>
      </c>
      <c r="C340" s="4" t="s">
        <v>146</v>
      </c>
      <c r="D340" s="4" t="n">
        <v>9</v>
      </c>
      <c r="E340" s="4" t="s">
        <v>165</v>
      </c>
      <c r="F340" s="4" t="s">
        <v>72</v>
      </c>
      <c r="G340" s="4" t="s">
        <v>614</v>
      </c>
      <c r="H340" s="5" t="s">
        <v>615</v>
      </c>
      <c r="I340" s="4" t="s">
        <v>616</v>
      </c>
      <c r="J340" s="4" t="s">
        <v>644</v>
      </c>
      <c r="K340" s="5" t="s">
        <v>587</v>
      </c>
      <c r="L340" s="4" t="n">
        <f aca="false">MAX(1,ROUND(0.75*Inputs!$B$4*Inputs!$B$5^(B340-1)*INDEX(Inputs!$C$15:$C$23,MATCH("phishing",Inputs!$A$15:$A$23,0))*Inputs!$B$7*Inputs!$B$6^(D340-1)/Inputs!$B$12,0))</f>
        <v>124</v>
      </c>
      <c r="M340" s="4"/>
      <c r="N340" s="4"/>
      <c r="O340" s="4" t="s">
        <v>588</v>
      </c>
      <c r="P340" s="5"/>
      <c r="Q340" s="4" t="s">
        <v>618</v>
      </c>
      <c r="R340" s="4" t="n">
        <v>0.05</v>
      </c>
      <c r="S340" s="4" t="s">
        <v>635</v>
      </c>
    </row>
    <row r="341" customFormat="false" ht="23.85" hidden="false" customHeight="false" outlineLevel="0" collapsed="false">
      <c r="A341" s="6" t="s">
        <v>585</v>
      </c>
      <c r="B341" s="6" t="n">
        <v>4</v>
      </c>
      <c r="C341" s="6" t="s">
        <v>146</v>
      </c>
      <c r="D341" s="6" t="n">
        <v>10</v>
      </c>
      <c r="E341" s="6" t="s">
        <v>167</v>
      </c>
      <c r="F341" s="6" t="s">
        <v>87</v>
      </c>
      <c r="G341" s="6" t="s">
        <v>645</v>
      </c>
      <c r="H341" s="7" t="s">
        <v>646</v>
      </c>
      <c r="I341" s="6" t="s">
        <v>90</v>
      </c>
      <c r="J341" s="6"/>
      <c r="K341" s="7" t="s">
        <v>587</v>
      </c>
      <c r="L341" s="6" t="n">
        <f aca="false">MAX(1,ROUND(0.75*Inputs!$B$4*Inputs!$B$5^(B341-1)*INDEX(Inputs!$C$15:$C$23,MATCH("phishing",Inputs!$A$15:$A$23,0))*Inputs!$B$7*Inputs!$B$6^(D341-1)/Inputs!$B$12,0))</f>
        <v>143</v>
      </c>
      <c r="M341" s="6" t="s">
        <v>170</v>
      </c>
      <c r="N341" s="6" t="n">
        <v>2</v>
      </c>
      <c r="O341" s="6" t="s">
        <v>588</v>
      </c>
      <c r="P341" s="7"/>
      <c r="Q341" s="6" t="s">
        <v>647</v>
      </c>
      <c r="R341" s="8" t="b">
        <f aca="false">TRUE()</f>
        <v>1</v>
      </c>
      <c r="S341" s="6" t="s">
        <v>93</v>
      </c>
    </row>
    <row r="342" customFormat="false" ht="35.05" hidden="false" customHeight="false" outlineLevel="0" collapsed="false">
      <c r="A342" s="2" t="s">
        <v>585</v>
      </c>
      <c r="B342" s="2" t="n">
        <v>5</v>
      </c>
      <c r="C342" s="2" t="s">
        <v>172</v>
      </c>
      <c r="D342" s="2" t="n">
        <v>1</v>
      </c>
      <c r="E342" s="2" t="s">
        <v>173</v>
      </c>
      <c r="F342" s="2" t="s">
        <v>22</v>
      </c>
      <c r="G342" s="2" t="s">
        <v>225</v>
      </c>
      <c r="H342" s="3" t="s">
        <v>586</v>
      </c>
      <c r="I342" s="2" t="s">
        <v>308</v>
      </c>
      <c r="J342" s="2" t="s">
        <v>309</v>
      </c>
      <c r="K342" s="3" t="s">
        <v>587</v>
      </c>
      <c r="L342" s="2" t="n">
        <f aca="false">MAX(1,ROUND(0.75*Inputs!$B$4*Inputs!$B$5^(B342-1)*INDEX(Inputs!$C$15:$C$23,MATCH("phishing",Inputs!$A$15:$A$23,0))*Inputs!$B$7*Inputs!$B$6^(D342-1)/Inputs!$B$12,0))</f>
        <v>45</v>
      </c>
      <c r="M342" s="2"/>
      <c r="N342" s="2"/>
      <c r="O342" s="2" t="s">
        <v>588</v>
      </c>
      <c r="P342" s="3"/>
      <c r="Q342" s="2" t="s">
        <v>589</v>
      </c>
      <c r="R342" s="2" t="n">
        <v>0.8438</v>
      </c>
      <c r="S342" s="2" t="s">
        <v>297</v>
      </c>
    </row>
    <row r="343" customFormat="false" ht="15" hidden="false" customHeight="false" outlineLevel="0" collapsed="false">
      <c r="A343" s="2" t="s">
        <v>585</v>
      </c>
      <c r="B343" s="2" t="n">
        <v>5</v>
      </c>
      <c r="C343" s="2" t="s">
        <v>172</v>
      </c>
      <c r="D343" s="2" t="n">
        <v>2</v>
      </c>
      <c r="E343" s="2" t="s">
        <v>177</v>
      </c>
      <c r="F343" s="2" t="s">
        <v>22</v>
      </c>
      <c r="G343" s="2" t="s">
        <v>225</v>
      </c>
      <c r="H343" s="3" t="s">
        <v>590</v>
      </c>
      <c r="I343" s="2" t="s">
        <v>308</v>
      </c>
      <c r="J343" s="2" t="s">
        <v>310</v>
      </c>
      <c r="K343" s="3" t="s">
        <v>587</v>
      </c>
      <c r="L343" s="2" t="n">
        <f aca="false">MAX(1,ROUND(0.75*Inputs!$B$4*Inputs!$B$5^(B343-1)*INDEX(Inputs!$C$15:$C$23,MATCH("phishing",Inputs!$A$15:$A$23,0))*Inputs!$B$7*Inputs!$B$6^(D343-1)/Inputs!$B$12,0))</f>
        <v>51</v>
      </c>
      <c r="M343" s="2"/>
      <c r="N343" s="2"/>
      <c r="O343" s="2" t="s">
        <v>588</v>
      </c>
      <c r="P343" s="3"/>
      <c r="Q343" s="2" t="s">
        <v>589</v>
      </c>
      <c r="R343" s="2" t="n">
        <v>0.8438</v>
      </c>
      <c r="S343" s="2" t="s">
        <v>309</v>
      </c>
    </row>
    <row r="344" customFormat="false" ht="15" hidden="false" customHeight="false" outlineLevel="0" collapsed="false">
      <c r="A344" s="2" t="s">
        <v>585</v>
      </c>
      <c r="B344" s="2" t="n">
        <v>5</v>
      </c>
      <c r="C344" s="2" t="s">
        <v>172</v>
      </c>
      <c r="D344" s="2" t="n">
        <v>3</v>
      </c>
      <c r="E344" s="2" t="s">
        <v>179</v>
      </c>
      <c r="F344" s="2" t="s">
        <v>22</v>
      </c>
      <c r="G344" s="2" t="s">
        <v>225</v>
      </c>
      <c r="H344" s="3" t="s">
        <v>590</v>
      </c>
      <c r="I344" s="2" t="s">
        <v>308</v>
      </c>
      <c r="J344" s="2" t="s">
        <v>311</v>
      </c>
      <c r="K344" s="3" t="s">
        <v>587</v>
      </c>
      <c r="L344" s="2" t="n">
        <f aca="false">MAX(1,ROUND(0.75*Inputs!$B$4*Inputs!$B$5^(B344-1)*INDEX(Inputs!$C$15:$C$23,MATCH("phishing",Inputs!$A$15:$A$23,0))*Inputs!$B$7*Inputs!$B$6^(D344-1)/Inputs!$B$12,0))</f>
        <v>59</v>
      </c>
      <c r="M344" s="2"/>
      <c r="N344" s="2"/>
      <c r="O344" s="2" t="s">
        <v>588</v>
      </c>
      <c r="P344" s="3"/>
      <c r="Q344" s="2" t="s">
        <v>589</v>
      </c>
      <c r="R344" s="2" t="n">
        <v>0.8438</v>
      </c>
      <c r="S344" s="2" t="s">
        <v>310</v>
      </c>
    </row>
    <row r="345" customFormat="false" ht="35.05" hidden="false" customHeight="false" outlineLevel="0" collapsed="false">
      <c r="A345" s="2" t="s">
        <v>585</v>
      </c>
      <c r="B345" s="2" t="n">
        <v>5</v>
      </c>
      <c r="C345" s="2" t="s">
        <v>172</v>
      </c>
      <c r="D345" s="2" t="n">
        <v>4</v>
      </c>
      <c r="E345" s="2" t="s">
        <v>181</v>
      </c>
      <c r="F345" s="2" t="s">
        <v>22</v>
      </c>
      <c r="G345" s="2" t="s">
        <v>234</v>
      </c>
      <c r="H345" s="3" t="s">
        <v>591</v>
      </c>
      <c r="I345" s="2" t="s">
        <v>592</v>
      </c>
      <c r="J345" s="2" t="s">
        <v>648</v>
      </c>
      <c r="K345" s="3" t="s">
        <v>587</v>
      </c>
      <c r="L345" s="2" t="n">
        <f aca="false">MAX(1,ROUND(0.75*Inputs!$B$4*Inputs!$B$5^(B345-1)*INDEX(Inputs!$C$15:$C$23,MATCH("phishing",Inputs!$A$15:$A$23,0))*Inputs!$B$7*Inputs!$B$6^(D345-1)/Inputs!$B$12,0))</f>
        <v>68</v>
      </c>
      <c r="M345" s="2"/>
      <c r="N345" s="2"/>
      <c r="O345" s="2" t="s">
        <v>588</v>
      </c>
      <c r="P345" s="3"/>
      <c r="Q345" s="2" t="s">
        <v>594</v>
      </c>
      <c r="R345" s="2" t="n">
        <v>0.016667</v>
      </c>
      <c r="S345" s="2" t="s">
        <v>640</v>
      </c>
    </row>
    <row r="346" customFormat="false" ht="23.85" hidden="false" customHeight="false" outlineLevel="0" collapsed="false">
      <c r="A346" s="2" t="s">
        <v>585</v>
      </c>
      <c r="B346" s="2" t="n">
        <v>5</v>
      </c>
      <c r="C346" s="2" t="s">
        <v>172</v>
      </c>
      <c r="D346" s="2" t="n">
        <v>5</v>
      </c>
      <c r="E346" s="2" t="s">
        <v>183</v>
      </c>
      <c r="F346" s="2" t="s">
        <v>22</v>
      </c>
      <c r="G346" s="2" t="s">
        <v>234</v>
      </c>
      <c r="H346" s="3" t="s">
        <v>596</v>
      </c>
      <c r="I346" s="2" t="s">
        <v>592</v>
      </c>
      <c r="J346" s="2" t="s">
        <v>649</v>
      </c>
      <c r="K346" s="3" t="s">
        <v>587</v>
      </c>
      <c r="L346" s="2" t="n">
        <f aca="false">MAX(1,ROUND(0.75*Inputs!$B$4*Inputs!$B$5^(B346-1)*INDEX(Inputs!$C$15:$C$23,MATCH("phishing",Inputs!$A$15:$A$23,0))*Inputs!$B$7*Inputs!$B$6^(D346-1)/Inputs!$B$12,0))</f>
        <v>78</v>
      </c>
      <c r="M346" s="2"/>
      <c r="N346" s="2"/>
      <c r="O346" s="2" t="s">
        <v>588</v>
      </c>
      <c r="P346" s="3"/>
      <c r="Q346" s="2" t="s">
        <v>594</v>
      </c>
      <c r="R346" s="2" t="n">
        <v>0.016667</v>
      </c>
      <c r="S346" s="2" t="s">
        <v>648</v>
      </c>
    </row>
    <row r="347" customFormat="false" ht="23.85" hidden="false" customHeight="false" outlineLevel="0" collapsed="false">
      <c r="A347" s="2" t="s">
        <v>585</v>
      </c>
      <c r="B347" s="2" t="n">
        <v>5</v>
      </c>
      <c r="C347" s="2" t="s">
        <v>172</v>
      </c>
      <c r="D347" s="2" t="n">
        <v>6</v>
      </c>
      <c r="E347" s="2" t="s">
        <v>185</v>
      </c>
      <c r="F347" s="2" t="s">
        <v>22</v>
      </c>
      <c r="G347" s="2" t="s">
        <v>598</v>
      </c>
      <c r="H347" s="3" t="s">
        <v>599</v>
      </c>
      <c r="I347" s="2" t="s">
        <v>41</v>
      </c>
      <c r="J347" s="2" t="s">
        <v>650</v>
      </c>
      <c r="K347" s="3" t="s">
        <v>587</v>
      </c>
      <c r="L347" s="2" t="n">
        <f aca="false">MAX(1,ROUND(0.75*Inputs!$B$4*Inputs!$B$5^(B347-1)*INDEX(Inputs!$C$15:$C$23,MATCH("phishing",Inputs!$A$15:$A$23,0))*Inputs!$B$7*Inputs!$B$6^(D347-1)/Inputs!$B$12,0))</f>
        <v>90</v>
      </c>
      <c r="M347" s="2"/>
      <c r="N347" s="2"/>
      <c r="O347" s="2" t="s">
        <v>588</v>
      </c>
      <c r="P347" s="3"/>
      <c r="Q347" s="2" t="s">
        <v>601</v>
      </c>
      <c r="R347" s="2" t="n">
        <v>1</v>
      </c>
      <c r="S347" s="2" t="s">
        <v>641</v>
      </c>
    </row>
    <row r="348" customFormat="false" ht="15" hidden="false" customHeight="false" outlineLevel="0" collapsed="false">
      <c r="A348" s="2" t="s">
        <v>585</v>
      </c>
      <c r="B348" s="2" t="n">
        <v>5</v>
      </c>
      <c r="C348" s="2" t="s">
        <v>172</v>
      </c>
      <c r="D348" s="2" t="n">
        <v>7</v>
      </c>
      <c r="E348" s="2" t="s">
        <v>187</v>
      </c>
      <c r="F348" s="2" t="s">
        <v>22</v>
      </c>
      <c r="G348" s="2" t="s">
        <v>603</v>
      </c>
      <c r="H348" s="3" t="s">
        <v>604</v>
      </c>
      <c r="I348" s="2" t="s">
        <v>605</v>
      </c>
      <c r="J348" s="2" t="s">
        <v>651</v>
      </c>
      <c r="K348" s="3" t="s">
        <v>587</v>
      </c>
      <c r="L348" s="2" t="n">
        <f aca="false">MAX(1,ROUND(0.75*Inputs!$B$4*Inputs!$B$5^(B348-1)*INDEX(Inputs!$C$15:$C$23,MATCH("phishing",Inputs!$A$15:$A$23,0))*Inputs!$B$7*Inputs!$B$6^(D348-1)/Inputs!$B$12,0))</f>
        <v>103</v>
      </c>
      <c r="M348" s="2"/>
      <c r="N348" s="2"/>
      <c r="O348" s="2" t="s">
        <v>588</v>
      </c>
      <c r="P348" s="3"/>
      <c r="Q348" s="2" t="s">
        <v>607</v>
      </c>
      <c r="R348" s="2" t="n">
        <v>0.05</v>
      </c>
      <c r="S348" s="2" t="s">
        <v>642</v>
      </c>
    </row>
    <row r="349" customFormat="false" ht="15" hidden="false" customHeight="false" outlineLevel="0" collapsed="false">
      <c r="A349" s="4" t="s">
        <v>585</v>
      </c>
      <c r="B349" s="4" t="n">
        <v>5</v>
      </c>
      <c r="C349" s="4" t="s">
        <v>172</v>
      </c>
      <c r="D349" s="4" t="n">
        <v>8</v>
      </c>
      <c r="E349" s="4" t="s">
        <v>189</v>
      </c>
      <c r="F349" s="4" t="s">
        <v>72</v>
      </c>
      <c r="G349" s="4" t="s">
        <v>609</v>
      </c>
      <c r="H349" s="5" t="s">
        <v>610</v>
      </c>
      <c r="I349" s="4" t="s">
        <v>605</v>
      </c>
      <c r="J349" s="4" t="s">
        <v>652</v>
      </c>
      <c r="K349" s="5" t="s">
        <v>587</v>
      </c>
      <c r="L349" s="4" t="n">
        <f aca="false">MAX(1,ROUND(0.75*Inputs!$B$4*Inputs!$B$5^(B349-1)*INDEX(Inputs!$C$15:$C$23,MATCH("phishing",Inputs!$A$15:$A$23,0))*Inputs!$B$7*Inputs!$B$6^(D349-1)/Inputs!$B$12,0))</f>
        <v>119</v>
      </c>
      <c r="M349" s="4"/>
      <c r="N349" s="4"/>
      <c r="O349" s="4" t="s">
        <v>588</v>
      </c>
      <c r="P349" s="5"/>
      <c r="Q349" s="4" t="s">
        <v>612</v>
      </c>
      <c r="R349" s="4" t="n">
        <v>0.05</v>
      </c>
      <c r="S349" s="4" t="s">
        <v>643</v>
      </c>
    </row>
    <row r="350" customFormat="false" ht="23.85" hidden="false" customHeight="false" outlineLevel="0" collapsed="false">
      <c r="A350" s="4" t="s">
        <v>585</v>
      </c>
      <c r="B350" s="4" t="n">
        <v>5</v>
      </c>
      <c r="C350" s="4" t="s">
        <v>172</v>
      </c>
      <c r="D350" s="4" t="n">
        <v>9</v>
      </c>
      <c r="E350" s="4" t="s">
        <v>191</v>
      </c>
      <c r="F350" s="4" t="s">
        <v>72</v>
      </c>
      <c r="G350" s="4" t="s">
        <v>614</v>
      </c>
      <c r="H350" s="5" t="s">
        <v>615</v>
      </c>
      <c r="I350" s="4" t="s">
        <v>616</v>
      </c>
      <c r="J350" s="4" t="s">
        <v>653</v>
      </c>
      <c r="K350" s="5" t="s">
        <v>587</v>
      </c>
      <c r="L350" s="4" t="n">
        <f aca="false">MAX(1,ROUND(0.75*Inputs!$B$4*Inputs!$B$5^(B350-1)*INDEX(Inputs!$C$15:$C$23,MATCH("phishing",Inputs!$A$15:$A$23,0))*Inputs!$B$7*Inputs!$B$6^(D350-1)/Inputs!$B$12,0))</f>
        <v>136</v>
      </c>
      <c r="M350" s="4"/>
      <c r="N350" s="4"/>
      <c r="O350" s="4" t="s">
        <v>588</v>
      </c>
      <c r="P350" s="5"/>
      <c r="Q350" s="4" t="s">
        <v>618</v>
      </c>
      <c r="R350" s="4" t="n">
        <v>0.05</v>
      </c>
      <c r="S350" s="4" t="s">
        <v>644</v>
      </c>
    </row>
    <row r="351" customFormat="false" ht="23.85" hidden="false" customHeight="false" outlineLevel="0" collapsed="false">
      <c r="A351" s="6" t="s">
        <v>585</v>
      </c>
      <c r="B351" s="6" t="n">
        <v>5</v>
      </c>
      <c r="C351" s="6" t="s">
        <v>172</v>
      </c>
      <c r="D351" s="6" t="n">
        <v>10</v>
      </c>
      <c r="E351" s="6" t="s">
        <v>193</v>
      </c>
      <c r="F351" s="6" t="s">
        <v>87</v>
      </c>
      <c r="G351" s="6" t="s">
        <v>318</v>
      </c>
      <c r="H351" s="7" t="s">
        <v>654</v>
      </c>
      <c r="I351" s="6" t="s">
        <v>90</v>
      </c>
      <c r="J351" s="6"/>
      <c r="K351" s="7" t="s">
        <v>587</v>
      </c>
      <c r="L351" s="6" t="n">
        <f aca="false">MAX(1,ROUND(0.75*Inputs!$B$4*Inputs!$B$5^(B351-1)*INDEX(Inputs!$C$15:$C$23,MATCH("phishing",Inputs!$A$15:$A$23,0))*Inputs!$B$7*Inputs!$B$6^(D351-1)/Inputs!$B$12,0))</f>
        <v>157</v>
      </c>
      <c r="M351" s="6" t="s">
        <v>196</v>
      </c>
      <c r="N351" s="6" t="n">
        <v>2</v>
      </c>
      <c r="O351" s="6" t="s">
        <v>588</v>
      </c>
      <c r="P351" s="7"/>
      <c r="Q351" s="6" t="s">
        <v>655</v>
      </c>
      <c r="R351" s="8" t="b">
        <f aca="false">TRUE()</f>
        <v>1</v>
      </c>
      <c r="S351" s="6" t="s">
        <v>93</v>
      </c>
    </row>
    <row r="352" customFormat="false" ht="35.05" hidden="false" customHeight="false" outlineLevel="0" collapsed="false">
      <c r="A352" s="2" t="s">
        <v>585</v>
      </c>
      <c r="B352" s="2" t="n">
        <v>6</v>
      </c>
      <c r="C352" s="2" t="s">
        <v>198</v>
      </c>
      <c r="D352" s="2" t="n">
        <v>1</v>
      </c>
      <c r="E352" s="2" t="s">
        <v>199</v>
      </c>
      <c r="F352" s="2" t="s">
        <v>22</v>
      </c>
      <c r="G352" s="2" t="s">
        <v>225</v>
      </c>
      <c r="H352" s="3" t="s">
        <v>586</v>
      </c>
      <c r="I352" s="2" t="s">
        <v>322</v>
      </c>
      <c r="J352" s="2" t="s">
        <v>323</v>
      </c>
      <c r="K352" s="3" t="s">
        <v>587</v>
      </c>
      <c r="L352" s="2" t="n">
        <f aca="false">MAX(1,ROUND(1*Inputs!$B$4*Inputs!$B$5^(B352-1)*INDEX(Inputs!$C$15:$C$23,MATCH("phishing",Inputs!$A$15:$A$23,0))*Inputs!$B$7*Inputs!$B$6^(D352-1)/Inputs!$B$12,0))</f>
        <v>65</v>
      </c>
      <c r="M352" s="2"/>
      <c r="N352" s="2"/>
      <c r="O352" s="2" t="s">
        <v>588</v>
      </c>
      <c r="P352" s="3"/>
      <c r="Q352" s="2" t="s">
        <v>589</v>
      </c>
      <c r="R352" s="2" t="n">
        <v>1.2656</v>
      </c>
      <c r="S352" s="2" t="s">
        <v>311</v>
      </c>
    </row>
    <row r="353" customFormat="false" ht="15" hidden="false" customHeight="false" outlineLevel="0" collapsed="false">
      <c r="A353" s="2" t="s">
        <v>585</v>
      </c>
      <c r="B353" s="2" t="n">
        <v>6</v>
      </c>
      <c r="C353" s="2" t="s">
        <v>198</v>
      </c>
      <c r="D353" s="2" t="n">
        <v>2</v>
      </c>
      <c r="E353" s="2" t="s">
        <v>203</v>
      </c>
      <c r="F353" s="2" t="s">
        <v>22</v>
      </c>
      <c r="G353" s="2" t="s">
        <v>225</v>
      </c>
      <c r="H353" s="3" t="s">
        <v>590</v>
      </c>
      <c r="I353" s="2" t="s">
        <v>322</v>
      </c>
      <c r="J353" s="2" t="s">
        <v>324</v>
      </c>
      <c r="K353" s="3" t="s">
        <v>587</v>
      </c>
      <c r="L353" s="2" t="n">
        <f aca="false">MAX(1,ROUND(1*Inputs!$B$4*Inputs!$B$5^(B353-1)*INDEX(Inputs!$C$15:$C$23,MATCH("phishing",Inputs!$A$15:$A$23,0))*Inputs!$B$7*Inputs!$B$6^(D353-1)/Inputs!$B$12,0))</f>
        <v>75</v>
      </c>
      <c r="M353" s="2"/>
      <c r="N353" s="2"/>
      <c r="O353" s="2" t="s">
        <v>588</v>
      </c>
      <c r="P353" s="3"/>
      <c r="Q353" s="2" t="s">
        <v>589</v>
      </c>
      <c r="R353" s="2" t="n">
        <v>1.2656</v>
      </c>
      <c r="S353" s="2" t="s">
        <v>323</v>
      </c>
    </row>
    <row r="354" customFormat="false" ht="15" hidden="false" customHeight="false" outlineLevel="0" collapsed="false">
      <c r="A354" s="2" t="s">
        <v>585</v>
      </c>
      <c r="B354" s="2" t="n">
        <v>6</v>
      </c>
      <c r="C354" s="2" t="s">
        <v>198</v>
      </c>
      <c r="D354" s="2" t="n">
        <v>3</v>
      </c>
      <c r="E354" s="2" t="s">
        <v>205</v>
      </c>
      <c r="F354" s="2" t="s">
        <v>22</v>
      </c>
      <c r="G354" s="2" t="s">
        <v>225</v>
      </c>
      <c r="H354" s="3" t="s">
        <v>590</v>
      </c>
      <c r="I354" s="2" t="s">
        <v>322</v>
      </c>
      <c r="J354" s="2" t="s">
        <v>325</v>
      </c>
      <c r="K354" s="3" t="s">
        <v>587</v>
      </c>
      <c r="L354" s="2" t="n">
        <f aca="false">MAX(1,ROUND(1*Inputs!$B$4*Inputs!$B$5^(B354-1)*INDEX(Inputs!$C$15:$C$23,MATCH("phishing",Inputs!$A$15:$A$23,0))*Inputs!$B$7*Inputs!$B$6^(D354-1)/Inputs!$B$12,0))</f>
        <v>87</v>
      </c>
      <c r="M354" s="2"/>
      <c r="N354" s="2"/>
      <c r="O354" s="2" t="s">
        <v>588</v>
      </c>
      <c r="P354" s="3"/>
      <c r="Q354" s="2" t="s">
        <v>589</v>
      </c>
      <c r="R354" s="2" t="n">
        <v>1.2656</v>
      </c>
      <c r="S354" s="2" t="s">
        <v>324</v>
      </c>
    </row>
    <row r="355" customFormat="false" ht="35.05" hidden="false" customHeight="false" outlineLevel="0" collapsed="false">
      <c r="A355" s="2" t="s">
        <v>585</v>
      </c>
      <c r="B355" s="2" t="n">
        <v>6</v>
      </c>
      <c r="C355" s="2" t="s">
        <v>198</v>
      </c>
      <c r="D355" s="2" t="n">
        <v>4</v>
      </c>
      <c r="E355" s="2" t="s">
        <v>207</v>
      </c>
      <c r="F355" s="2" t="s">
        <v>22</v>
      </c>
      <c r="G355" s="2" t="s">
        <v>234</v>
      </c>
      <c r="H355" s="3" t="s">
        <v>591</v>
      </c>
      <c r="I355" s="2" t="s">
        <v>592</v>
      </c>
      <c r="J355" s="2" t="s">
        <v>656</v>
      </c>
      <c r="K355" s="3" t="s">
        <v>587</v>
      </c>
      <c r="L355" s="2" t="n">
        <f aca="false">MAX(1,ROUND(1*Inputs!$B$4*Inputs!$B$5^(B355-1)*INDEX(Inputs!$C$15:$C$23,MATCH("phishing",Inputs!$A$15:$A$23,0))*Inputs!$B$7*Inputs!$B$6^(D355-1)/Inputs!$B$12,0))</f>
        <v>100</v>
      </c>
      <c r="M355" s="2"/>
      <c r="N355" s="2"/>
      <c r="O355" s="2" t="s">
        <v>588</v>
      </c>
      <c r="P355" s="3"/>
      <c r="Q355" s="2" t="s">
        <v>594</v>
      </c>
      <c r="R355" s="2" t="n">
        <v>0.016667</v>
      </c>
      <c r="S355" s="2" t="s">
        <v>649</v>
      </c>
    </row>
    <row r="356" customFormat="false" ht="23.85" hidden="false" customHeight="false" outlineLevel="0" collapsed="false">
      <c r="A356" s="2" t="s">
        <v>585</v>
      </c>
      <c r="B356" s="2" t="n">
        <v>6</v>
      </c>
      <c r="C356" s="2" t="s">
        <v>198</v>
      </c>
      <c r="D356" s="2" t="n">
        <v>5</v>
      </c>
      <c r="E356" s="2" t="s">
        <v>209</v>
      </c>
      <c r="F356" s="2" t="s">
        <v>22</v>
      </c>
      <c r="G356" s="2" t="s">
        <v>234</v>
      </c>
      <c r="H356" s="3" t="s">
        <v>596</v>
      </c>
      <c r="I356" s="2" t="s">
        <v>592</v>
      </c>
      <c r="J356" s="2" t="s">
        <v>657</v>
      </c>
      <c r="K356" s="3" t="s">
        <v>587</v>
      </c>
      <c r="L356" s="2" t="n">
        <f aca="false">MAX(1,ROUND(1*Inputs!$B$4*Inputs!$B$5^(B356-1)*INDEX(Inputs!$C$15:$C$23,MATCH("phishing",Inputs!$A$15:$A$23,0))*Inputs!$B$7*Inputs!$B$6^(D356-1)/Inputs!$B$12,0))</f>
        <v>114</v>
      </c>
      <c r="M356" s="2"/>
      <c r="N356" s="2"/>
      <c r="O356" s="2" t="s">
        <v>588</v>
      </c>
      <c r="P356" s="3"/>
      <c r="Q356" s="2" t="s">
        <v>594</v>
      </c>
      <c r="R356" s="2" t="n">
        <v>0.016667</v>
      </c>
      <c r="S356" s="2" t="s">
        <v>656</v>
      </c>
    </row>
    <row r="357" customFormat="false" ht="23.85" hidden="false" customHeight="false" outlineLevel="0" collapsed="false">
      <c r="A357" s="2" t="s">
        <v>585</v>
      </c>
      <c r="B357" s="2" t="n">
        <v>6</v>
      </c>
      <c r="C357" s="2" t="s">
        <v>198</v>
      </c>
      <c r="D357" s="2" t="n">
        <v>6</v>
      </c>
      <c r="E357" s="2" t="s">
        <v>211</v>
      </c>
      <c r="F357" s="2" t="s">
        <v>22</v>
      </c>
      <c r="G357" s="2" t="s">
        <v>598</v>
      </c>
      <c r="H357" s="3" t="s">
        <v>599</v>
      </c>
      <c r="I357" s="2" t="s">
        <v>41</v>
      </c>
      <c r="J357" s="2" t="s">
        <v>658</v>
      </c>
      <c r="K357" s="3" t="s">
        <v>587</v>
      </c>
      <c r="L357" s="2" t="n">
        <f aca="false">MAX(1,ROUND(1*Inputs!$B$4*Inputs!$B$5^(B357-1)*INDEX(Inputs!$C$15:$C$23,MATCH("phishing",Inputs!$A$15:$A$23,0))*Inputs!$B$7*Inputs!$B$6^(D357-1)/Inputs!$B$12,0))</f>
        <v>132</v>
      </c>
      <c r="M357" s="2"/>
      <c r="N357" s="2"/>
      <c r="O357" s="2" t="s">
        <v>588</v>
      </c>
      <c r="P357" s="3"/>
      <c r="Q357" s="2" t="s">
        <v>601</v>
      </c>
      <c r="R357" s="2" t="n">
        <v>1</v>
      </c>
      <c r="S357" s="2" t="s">
        <v>650</v>
      </c>
    </row>
    <row r="358" customFormat="false" ht="15" hidden="false" customHeight="false" outlineLevel="0" collapsed="false">
      <c r="A358" s="2" t="s">
        <v>585</v>
      </c>
      <c r="B358" s="2" t="n">
        <v>6</v>
      </c>
      <c r="C358" s="2" t="s">
        <v>198</v>
      </c>
      <c r="D358" s="2" t="n">
        <v>7</v>
      </c>
      <c r="E358" s="2" t="s">
        <v>213</v>
      </c>
      <c r="F358" s="2" t="s">
        <v>22</v>
      </c>
      <c r="G358" s="2" t="s">
        <v>603</v>
      </c>
      <c r="H358" s="3" t="s">
        <v>604</v>
      </c>
      <c r="I358" s="2" t="s">
        <v>605</v>
      </c>
      <c r="J358" s="2" t="s">
        <v>659</v>
      </c>
      <c r="K358" s="3" t="s">
        <v>587</v>
      </c>
      <c r="L358" s="2" t="n">
        <f aca="false">MAX(1,ROUND(1*Inputs!$B$4*Inputs!$B$5^(B358-1)*INDEX(Inputs!$C$15:$C$23,MATCH("phishing",Inputs!$A$15:$A$23,0))*Inputs!$B$7*Inputs!$B$6^(D358-1)/Inputs!$B$12,0))</f>
        <v>151</v>
      </c>
      <c r="M358" s="2"/>
      <c r="N358" s="2"/>
      <c r="O358" s="2" t="s">
        <v>588</v>
      </c>
      <c r="P358" s="3"/>
      <c r="Q358" s="2" t="s">
        <v>607</v>
      </c>
      <c r="R358" s="2" t="n">
        <v>0.05</v>
      </c>
      <c r="S358" s="2" t="s">
        <v>651</v>
      </c>
    </row>
    <row r="359" customFormat="false" ht="15" hidden="false" customHeight="false" outlineLevel="0" collapsed="false">
      <c r="A359" s="4" t="s">
        <v>585</v>
      </c>
      <c r="B359" s="4" t="n">
        <v>6</v>
      </c>
      <c r="C359" s="4" t="s">
        <v>198</v>
      </c>
      <c r="D359" s="4" t="n">
        <v>8</v>
      </c>
      <c r="E359" s="4" t="s">
        <v>215</v>
      </c>
      <c r="F359" s="4" t="s">
        <v>72</v>
      </c>
      <c r="G359" s="4" t="s">
        <v>609</v>
      </c>
      <c r="H359" s="5" t="s">
        <v>610</v>
      </c>
      <c r="I359" s="4" t="s">
        <v>605</v>
      </c>
      <c r="J359" s="4" t="s">
        <v>660</v>
      </c>
      <c r="K359" s="5" t="s">
        <v>587</v>
      </c>
      <c r="L359" s="4" t="n">
        <f aca="false">MAX(1,ROUND(1*Inputs!$B$4*Inputs!$B$5^(B359-1)*INDEX(Inputs!$C$15:$C$23,MATCH("phishing",Inputs!$A$15:$A$23,0))*Inputs!$B$7*Inputs!$B$6^(D359-1)/Inputs!$B$12,0))</f>
        <v>174</v>
      </c>
      <c r="M359" s="4"/>
      <c r="N359" s="4"/>
      <c r="O359" s="4" t="s">
        <v>588</v>
      </c>
      <c r="P359" s="5"/>
      <c r="Q359" s="4" t="s">
        <v>612</v>
      </c>
      <c r="R359" s="4" t="n">
        <v>0.05</v>
      </c>
      <c r="S359" s="4" t="s">
        <v>652</v>
      </c>
    </row>
    <row r="360" customFormat="false" ht="23.85" hidden="false" customHeight="false" outlineLevel="0" collapsed="false">
      <c r="A360" s="4" t="s">
        <v>585</v>
      </c>
      <c r="B360" s="4" t="n">
        <v>6</v>
      </c>
      <c r="C360" s="4" t="s">
        <v>198</v>
      </c>
      <c r="D360" s="4" t="n">
        <v>9</v>
      </c>
      <c r="E360" s="4" t="s">
        <v>217</v>
      </c>
      <c r="F360" s="4" t="s">
        <v>72</v>
      </c>
      <c r="G360" s="4" t="s">
        <v>614</v>
      </c>
      <c r="H360" s="5" t="s">
        <v>615</v>
      </c>
      <c r="I360" s="4" t="s">
        <v>616</v>
      </c>
      <c r="J360" s="4" t="s">
        <v>661</v>
      </c>
      <c r="K360" s="5" t="s">
        <v>587</v>
      </c>
      <c r="L360" s="4" t="n">
        <f aca="false">MAX(1,ROUND(1*Inputs!$B$4*Inputs!$B$5^(B360-1)*INDEX(Inputs!$C$15:$C$23,MATCH("phishing",Inputs!$A$15:$A$23,0))*Inputs!$B$7*Inputs!$B$6^(D360-1)/Inputs!$B$12,0))</f>
        <v>200</v>
      </c>
      <c r="M360" s="4"/>
      <c r="N360" s="4"/>
      <c r="O360" s="4" t="s">
        <v>588</v>
      </c>
      <c r="P360" s="5"/>
      <c r="Q360" s="4" t="s">
        <v>618</v>
      </c>
      <c r="R360" s="4" t="n">
        <v>0.05</v>
      </c>
      <c r="S360" s="4" t="s">
        <v>653</v>
      </c>
    </row>
    <row r="361" customFormat="false" ht="23.85" hidden="false" customHeight="false" outlineLevel="0" collapsed="false">
      <c r="A361" s="6" t="s">
        <v>585</v>
      </c>
      <c r="B361" s="6" t="n">
        <v>6</v>
      </c>
      <c r="C361" s="6" t="s">
        <v>198</v>
      </c>
      <c r="D361" s="6" t="n">
        <v>10</v>
      </c>
      <c r="E361" s="6" t="s">
        <v>219</v>
      </c>
      <c r="F361" s="6" t="s">
        <v>87</v>
      </c>
      <c r="G361" s="6" t="s">
        <v>662</v>
      </c>
      <c r="H361" s="7" t="s">
        <v>663</v>
      </c>
      <c r="I361" s="6" t="s">
        <v>90</v>
      </c>
      <c r="J361" s="6"/>
      <c r="K361" s="7" t="s">
        <v>587</v>
      </c>
      <c r="L361" s="6" t="n">
        <f aca="false">MAX(1,ROUND(1*Inputs!$B$4*Inputs!$B$5^(B361-1)*INDEX(Inputs!$C$15:$C$23,MATCH("phishing",Inputs!$A$15:$A$23,0))*Inputs!$B$7*Inputs!$B$6^(D361-1)/Inputs!$B$12,0))</f>
        <v>230</v>
      </c>
      <c r="M361" s="6" t="s">
        <v>222</v>
      </c>
      <c r="N361" s="6" t="n">
        <v>2</v>
      </c>
      <c r="O361" s="6" t="s">
        <v>588</v>
      </c>
      <c r="P361" s="7"/>
      <c r="Q361" s="6" t="s">
        <v>664</v>
      </c>
      <c r="R361" s="8" t="b">
        <f aca="false">TRUE()</f>
        <v>1</v>
      </c>
      <c r="S361" s="6" t="s">
        <v>93</v>
      </c>
    </row>
    <row r="362" customFormat="false" ht="23.85" hidden="false" customHeight="false" outlineLevel="0" collapsed="false">
      <c r="A362" s="2" t="s">
        <v>665</v>
      </c>
      <c r="B362" s="2" t="n">
        <v>1</v>
      </c>
      <c r="C362" s="2" t="s">
        <v>20</v>
      </c>
      <c r="D362" s="2" t="n">
        <v>1</v>
      </c>
      <c r="E362" s="2" t="s">
        <v>21</v>
      </c>
      <c r="F362" s="2" t="s">
        <v>22</v>
      </c>
      <c r="G362" s="2" t="s">
        <v>225</v>
      </c>
      <c r="H362" s="3" t="s">
        <v>666</v>
      </c>
      <c r="I362" s="2" t="s">
        <v>227</v>
      </c>
      <c r="J362" s="2" t="s">
        <v>228</v>
      </c>
      <c r="K362" s="3" t="s">
        <v>667</v>
      </c>
      <c r="L362" s="2" t="n">
        <f aca="false">MAX(1,ROUND(0.3*Inputs!$B$4*Inputs!$B$5^(B362-1)*INDEX(Inputs!$C$15:$C$23,MATCH("decoding",Inputs!$A$15:$A$23,0))*Inputs!$B$7*Inputs!$B$6^(D362-1)/Inputs!$B$12,0))</f>
        <v>166</v>
      </c>
      <c r="M362" s="2"/>
      <c r="N362" s="2"/>
      <c r="O362" s="2" t="s">
        <v>668</v>
      </c>
      <c r="P362" s="3"/>
      <c r="Q362" s="2" t="s">
        <v>669</v>
      </c>
      <c r="R362" s="2" t="n">
        <v>0.1667</v>
      </c>
      <c r="S362" s="2" t="s">
        <v>230</v>
      </c>
    </row>
    <row r="363" customFormat="false" ht="15" hidden="false" customHeight="false" outlineLevel="0" collapsed="false">
      <c r="A363" s="2" t="s">
        <v>665</v>
      </c>
      <c r="B363" s="2" t="n">
        <v>1</v>
      </c>
      <c r="C363" s="2" t="s">
        <v>20</v>
      </c>
      <c r="D363" s="2" t="n">
        <v>2</v>
      </c>
      <c r="E363" s="2" t="s">
        <v>31</v>
      </c>
      <c r="F363" s="2" t="s">
        <v>22</v>
      </c>
      <c r="G363" s="2" t="s">
        <v>225</v>
      </c>
      <c r="H363" s="3" t="s">
        <v>670</v>
      </c>
      <c r="I363" s="2" t="s">
        <v>227</v>
      </c>
      <c r="J363" s="2" t="s">
        <v>232</v>
      </c>
      <c r="K363" s="3" t="s">
        <v>667</v>
      </c>
      <c r="L363" s="2" t="n">
        <f aca="false">MAX(1,ROUND(0.3*Inputs!$B$4*Inputs!$B$5^(B363-1)*INDEX(Inputs!$C$15:$C$23,MATCH("decoding",Inputs!$A$15:$A$23,0))*Inputs!$B$7*Inputs!$B$6^(D363-1)/Inputs!$B$12,0))</f>
        <v>191</v>
      </c>
      <c r="M363" s="2"/>
      <c r="N363" s="2"/>
      <c r="O363" s="2" t="s">
        <v>668</v>
      </c>
      <c r="P363" s="3"/>
      <c r="Q363" s="2" t="s">
        <v>669</v>
      </c>
      <c r="R363" s="2" t="n">
        <v>0.1667</v>
      </c>
      <c r="S363" s="2" t="s">
        <v>228</v>
      </c>
    </row>
    <row r="364" customFormat="false" ht="15" hidden="false" customHeight="false" outlineLevel="0" collapsed="false">
      <c r="A364" s="2" t="s">
        <v>665</v>
      </c>
      <c r="B364" s="2" t="n">
        <v>1</v>
      </c>
      <c r="C364" s="2" t="s">
        <v>20</v>
      </c>
      <c r="D364" s="2" t="n">
        <v>3</v>
      </c>
      <c r="E364" s="2" t="s">
        <v>38</v>
      </c>
      <c r="F364" s="2" t="s">
        <v>22</v>
      </c>
      <c r="G364" s="2" t="s">
        <v>225</v>
      </c>
      <c r="H364" s="3" t="s">
        <v>670</v>
      </c>
      <c r="I364" s="2" t="s">
        <v>227</v>
      </c>
      <c r="J364" s="2" t="s">
        <v>233</v>
      </c>
      <c r="K364" s="3" t="s">
        <v>667</v>
      </c>
      <c r="L364" s="2" t="n">
        <f aca="false">MAX(1,ROUND(0.3*Inputs!$B$4*Inputs!$B$5^(B364-1)*INDEX(Inputs!$C$15:$C$23,MATCH("decoding",Inputs!$A$15:$A$23,0))*Inputs!$B$7*Inputs!$B$6^(D364-1)/Inputs!$B$12,0))</f>
        <v>220</v>
      </c>
      <c r="M364" s="2"/>
      <c r="N364" s="2"/>
      <c r="O364" s="2" t="s">
        <v>668</v>
      </c>
      <c r="P364" s="3"/>
      <c r="Q364" s="2" t="s">
        <v>669</v>
      </c>
      <c r="R364" s="2" t="n">
        <v>0.1667</v>
      </c>
      <c r="S364" s="2" t="s">
        <v>232</v>
      </c>
    </row>
    <row r="365" customFormat="false" ht="57.45" hidden="false" customHeight="false" outlineLevel="0" collapsed="false">
      <c r="A365" s="2" t="s">
        <v>665</v>
      </c>
      <c r="B365" s="2" t="n">
        <v>1</v>
      </c>
      <c r="C365" s="2" t="s">
        <v>20</v>
      </c>
      <c r="D365" s="2" t="n">
        <v>4</v>
      </c>
      <c r="E365" s="2" t="s">
        <v>47</v>
      </c>
      <c r="F365" s="2" t="s">
        <v>22</v>
      </c>
      <c r="G365" s="2" t="s">
        <v>234</v>
      </c>
      <c r="H365" s="3" t="s">
        <v>671</v>
      </c>
      <c r="I365" s="2" t="s">
        <v>592</v>
      </c>
      <c r="J365" s="2" t="s">
        <v>593</v>
      </c>
      <c r="K365" s="3" t="s">
        <v>667</v>
      </c>
      <c r="L365" s="2" t="n">
        <f aca="false">MAX(1,ROUND(0.3*Inputs!$B$4*Inputs!$B$5^(B365-1)*INDEX(Inputs!$C$15:$C$23,MATCH("decoding",Inputs!$A$15:$A$23,0))*Inputs!$B$7*Inputs!$B$6^(D365-1)/Inputs!$B$12,0))</f>
        <v>253</v>
      </c>
      <c r="M365" s="2"/>
      <c r="N365" s="2"/>
      <c r="O365" s="2" t="s">
        <v>668</v>
      </c>
      <c r="P365" s="3"/>
      <c r="Q365" s="2" t="s">
        <v>672</v>
      </c>
      <c r="R365" s="2" t="n">
        <v>0.016667</v>
      </c>
      <c r="S365" s="2" t="s">
        <v>595</v>
      </c>
    </row>
    <row r="366" customFormat="false" ht="23.85" hidden="false" customHeight="false" outlineLevel="0" collapsed="false">
      <c r="A366" s="2" t="s">
        <v>665</v>
      </c>
      <c r="B366" s="2" t="n">
        <v>1</v>
      </c>
      <c r="C366" s="2" t="s">
        <v>20</v>
      </c>
      <c r="D366" s="2" t="n">
        <v>5</v>
      </c>
      <c r="E366" s="2" t="s">
        <v>54</v>
      </c>
      <c r="F366" s="2" t="s">
        <v>22</v>
      </c>
      <c r="G366" s="2" t="s">
        <v>234</v>
      </c>
      <c r="H366" s="3" t="s">
        <v>596</v>
      </c>
      <c r="I366" s="2" t="s">
        <v>592</v>
      </c>
      <c r="J366" s="2" t="s">
        <v>597</v>
      </c>
      <c r="K366" s="3" t="s">
        <v>667</v>
      </c>
      <c r="L366" s="2" t="n">
        <f aca="false">MAX(1,ROUND(0.3*Inputs!$B$4*Inputs!$B$5^(B366-1)*INDEX(Inputs!$C$15:$C$23,MATCH("decoding",Inputs!$A$15:$A$23,0))*Inputs!$B$7*Inputs!$B$6^(D366-1)/Inputs!$B$12,0))</f>
        <v>291</v>
      </c>
      <c r="M366" s="2"/>
      <c r="N366" s="2"/>
      <c r="O366" s="2" t="s">
        <v>668</v>
      </c>
      <c r="P366" s="3"/>
      <c r="Q366" s="2" t="s">
        <v>672</v>
      </c>
      <c r="R366" s="2" t="n">
        <v>0.016667</v>
      </c>
      <c r="S366" s="2" t="s">
        <v>593</v>
      </c>
    </row>
    <row r="367" customFormat="false" ht="15" hidden="false" customHeight="false" outlineLevel="0" collapsed="false">
      <c r="A367" s="2" t="s">
        <v>665</v>
      </c>
      <c r="B367" s="2" t="n">
        <v>1</v>
      </c>
      <c r="C367" s="2" t="s">
        <v>20</v>
      </c>
      <c r="D367" s="2" t="n">
        <v>6</v>
      </c>
      <c r="E367" s="2" t="s">
        <v>57</v>
      </c>
      <c r="F367" s="2" t="s">
        <v>22</v>
      </c>
      <c r="G367" s="2" t="s">
        <v>673</v>
      </c>
      <c r="H367" s="3" t="s">
        <v>674</v>
      </c>
      <c r="I367" s="2" t="s">
        <v>363</v>
      </c>
      <c r="J367" s="2" t="s">
        <v>675</v>
      </c>
      <c r="K367" s="3" t="s">
        <v>667</v>
      </c>
      <c r="L367" s="2" t="n">
        <f aca="false">MAX(1,ROUND(0.3*Inputs!$B$4*Inputs!$B$5^(B367-1)*INDEX(Inputs!$C$15:$C$23,MATCH("decoding",Inputs!$A$15:$A$23,0))*Inputs!$B$7*Inputs!$B$6^(D367-1)/Inputs!$B$12,0))</f>
        <v>334</v>
      </c>
      <c r="M367" s="2"/>
      <c r="N367" s="2"/>
      <c r="O367" s="2" t="s">
        <v>668</v>
      </c>
      <c r="P367" s="3"/>
      <c r="Q367" s="2" t="s">
        <v>676</v>
      </c>
      <c r="R367" s="2" t="n">
        <v>0.1</v>
      </c>
      <c r="S367" s="2" t="s">
        <v>677</v>
      </c>
    </row>
    <row r="368" customFormat="false" ht="35.05" hidden="false" customHeight="false" outlineLevel="0" collapsed="false">
      <c r="A368" s="4" t="s">
        <v>665</v>
      </c>
      <c r="B368" s="4" t="n">
        <v>1</v>
      </c>
      <c r="C368" s="4" t="s">
        <v>20</v>
      </c>
      <c r="D368" s="4" t="n">
        <v>7</v>
      </c>
      <c r="E368" s="4" t="s">
        <v>64</v>
      </c>
      <c r="F368" s="4" t="s">
        <v>72</v>
      </c>
      <c r="G368" s="4" t="s">
        <v>678</v>
      </c>
      <c r="H368" s="5" t="s">
        <v>679</v>
      </c>
      <c r="I368" s="4" t="s">
        <v>680</v>
      </c>
      <c r="J368" s="4" t="s">
        <v>681</v>
      </c>
      <c r="K368" s="5" t="s">
        <v>667</v>
      </c>
      <c r="L368" s="4" t="n">
        <f aca="false">MAX(1,ROUND(0.3*Inputs!$B$4*Inputs!$B$5^(B368-1)*INDEX(Inputs!$C$15:$C$23,MATCH("decoding",Inputs!$A$15:$A$23,0))*Inputs!$B$7*Inputs!$B$6^(D368-1)/Inputs!$B$12,0))</f>
        <v>384</v>
      </c>
      <c r="M368" s="4"/>
      <c r="N368" s="4"/>
      <c r="O368" s="4" t="s">
        <v>668</v>
      </c>
      <c r="P368" s="5"/>
      <c r="Q368" s="4" t="s">
        <v>682</v>
      </c>
      <c r="R368" s="4" t="n">
        <v>0.0025</v>
      </c>
      <c r="S368" s="4" t="s">
        <v>683</v>
      </c>
    </row>
    <row r="369" customFormat="false" ht="23.85" hidden="false" customHeight="false" outlineLevel="0" collapsed="false">
      <c r="A369" s="4" t="s">
        <v>665</v>
      </c>
      <c r="B369" s="4" t="n">
        <v>1</v>
      </c>
      <c r="C369" s="4" t="s">
        <v>20</v>
      </c>
      <c r="D369" s="4" t="n">
        <v>8</v>
      </c>
      <c r="E369" s="4" t="s">
        <v>71</v>
      </c>
      <c r="F369" s="4" t="s">
        <v>72</v>
      </c>
      <c r="G369" s="4" t="s">
        <v>684</v>
      </c>
      <c r="H369" s="5" t="s">
        <v>685</v>
      </c>
      <c r="I369" s="4" t="s">
        <v>363</v>
      </c>
      <c r="J369" s="4" t="s">
        <v>675</v>
      </c>
      <c r="K369" s="5" t="s">
        <v>667</v>
      </c>
      <c r="L369" s="4" t="n">
        <f aca="false">MAX(1,ROUND(0.3*Inputs!$B$4*Inputs!$B$5^(B369-1)*INDEX(Inputs!$C$15:$C$23,MATCH("decoding",Inputs!$A$15:$A$23,0))*Inputs!$B$7*Inputs!$B$6^(D369-1)/Inputs!$B$12,0))</f>
        <v>442</v>
      </c>
      <c r="M369" s="4"/>
      <c r="N369" s="4"/>
      <c r="O369" s="4" t="s">
        <v>668</v>
      </c>
      <c r="P369" s="5"/>
      <c r="Q369" s="4" t="s">
        <v>686</v>
      </c>
      <c r="R369" s="4" t="n">
        <v>0.1</v>
      </c>
      <c r="S369" s="4" t="s">
        <v>677</v>
      </c>
    </row>
    <row r="370" customFormat="false" ht="23.85" hidden="false" customHeight="false" outlineLevel="0" collapsed="false">
      <c r="A370" s="4" t="s">
        <v>665</v>
      </c>
      <c r="B370" s="4" t="n">
        <v>1</v>
      </c>
      <c r="C370" s="4" t="s">
        <v>20</v>
      </c>
      <c r="D370" s="4" t="n">
        <v>9</v>
      </c>
      <c r="E370" s="4" t="s">
        <v>79</v>
      </c>
      <c r="F370" s="4" t="s">
        <v>72</v>
      </c>
      <c r="G370" s="4" t="s">
        <v>687</v>
      </c>
      <c r="H370" s="5" t="s">
        <v>688</v>
      </c>
      <c r="I370" s="4" t="s">
        <v>689</v>
      </c>
      <c r="J370" s="4" t="s">
        <v>690</v>
      </c>
      <c r="K370" s="5" t="s">
        <v>667</v>
      </c>
      <c r="L370" s="4" t="n">
        <f aca="false">MAX(1,ROUND(0.3*Inputs!$B$4*Inputs!$B$5^(B370-1)*INDEX(Inputs!$C$15:$C$23,MATCH("decoding",Inputs!$A$15:$A$23,0))*Inputs!$B$7*Inputs!$B$6^(D370-1)/Inputs!$B$12,0))</f>
        <v>508</v>
      </c>
      <c r="M370" s="4"/>
      <c r="N370" s="4"/>
      <c r="O370" s="4" t="s">
        <v>668</v>
      </c>
      <c r="P370" s="5"/>
      <c r="Q370" s="4" t="s">
        <v>691</v>
      </c>
      <c r="R370" s="4" t="n">
        <v>1</v>
      </c>
      <c r="S370" s="4" t="s">
        <v>692</v>
      </c>
    </row>
    <row r="371" customFormat="false" ht="23.85" hidden="false" customHeight="false" outlineLevel="0" collapsed="false">
      <c r="A371" s="6" t="s">
        <v>665</v>
      </c>
      <c r="B371" s="6" t="n">
        <v>1</v>
      </c>
      <c r="C371" s="6" t="s">
        <v>20</v>
      </c>
      <c r="D371" s="6" t="n">
        <v>10</v>
      </c>
      <c r="E371" s="6" t="s">
        <v>86</v>
      </c>
      <c r="F371" s="6" t="s">
        <v>87</v>
      </c>
      <c r="G371" s="6" t="s">
        <v>262</v>
      </c>
      <c r="H371" s="7" t="s">
        <v>367</v>
      </c>
      <c r="I371" s="6" t="s">
        <v>90</v>
      </c>
      <c r="J371" s="6"/>
      <c r="K371" s="7" t="s">
        <v>667</v>
      </c>
      <c r="L371" s="6" t="n">
        <f aca="false">MAX(1,ROUND(0.3*Inputs!$B$4*Inputs!$B$5^(B371-1)*INDEX(Inputs!$C$15:$C$23,MATCH("decoding",Inputs!$A$15:$A$23,0))*Inputs!$B$7*Inputs!$B$6^(D371-1)/Inputs!$B$12,0))</f>
        <v>585</v>
      </c>
      <c r="M371" s="6" t="s">
        <v>264</v>
      </c>
      <c r="N371" s="6" t="n">
        <v>1</v>
      </c>
      <c r="O371" s="6" t="s">
        <v>668</v>
      </c>
      <c r="P371" s="7"/>
      <c r="Q371" s="6" t="s">
        <v>693</v>
      </c>
      <c r="R371" s="8" t="b">
        <f aca="false">TRUE()</f>
        <v>1</v>
      </c>
      <c r="S371" s="6" t="s">
        <v>93</v>
      </c>
    </row>
    <row r="372" customFormat="false" ht="23.85" hidden="false" customHeight="false" outlineLevel="0" collapsed="false">
      <c r="A372" s="2" t="s">
        <v>665</v>
      </c>
      <c r="B372" s="2" t="n">
        <v>2</v>
      </c>
      <c r="C372" s="2" t="s">
        <v>94</v>
      </c>
      <c r="D372" s="2" t="n">
        <v>1</v>
      </c>
      <c r="E372" s="2" t="s">
        <v>95</v>
      </c>
      <c r="F372" s="2" t="s">
        <v>22</v>
      </c>
      <c r="G372" s="2" t="s">
        <v>225</v>
      </c>
      <c r="H372" s="3" t="s">
        <v>666</v>
      </c>
      <c r="I372" s="2" t="s">
        <v>266</v>
      </c>
      <c r="J372" s="2" t="s">
        <v>267</v>
      </c>
      <c r="K372" s="3" t="s">
        <v>694</v>
      </c>
      <c r="L372" s="2" t="n">
        <f aca="false">MAX(1,ROUND(0.7*Inputs!$B$4*Inputs!$B$5^(B372-1)*INDEX(Inputs!$C$15:$C$23,MATCH("decoding",Inputs!$A$15:$A$23,0))*Inputs!$B$7*Inputs!$B$6^(D372-1)/Inputs!$B$12,0))</f>
        <v>427</v>
      </c>
      <c r="M372" s="2"/>
      <c r="N372" s="2"/>
      <c r="O372" s="2" t="s">
        <v>668</v>
      </c>
      <c r="P372" s="3"/>
      <c r="Q372" s="2" t="s">
        <v>669</v>
      </c>
      <c r="R372" s="2" t="n">
        <v>0.25</v>
      </c>
      <c r="S372" s="2" t="s">
        <v>233</v>
      </c>
    </row>
    <row r="373" customFormat="false" ht="15" hidden="false" customHeight="false" outlineLevel="0" collapsed="false">
      <c r="A373" s="2" t="s">
        <v>665</v>
      </c>
      <c r="B373" s="2" t="n">
        <v>2</v>
      </c>
      <c r="C373" s="2" t="s">
        <v>94</v>
      </c>
      <c r="D373" s="2" t="n">
        <v>2</v>
      </c>
      <c r="E373" s="2" t="s">
        <v>99</v>
      </c>
      <c r="F373" s="2" t="s">
        <v>22</v>
      </c>
      <c r="G373" s="2" t="s">
        <v>225</v>
      </c>
      <c r="H373" s="3" t="s">
        <v>670</v>
      </c>
      <c r="I373" s="2" t="s">
        <v>266</v>
      </c>
      <c r="J373" s="2" t="s">
        <v>268</v>
      </c>
      <c r="K373" s="3" t="s">
        <v>694</v>
      </c>
      <c r="L373" s="2" t="n">
        <f aca="false">MAX(1,ROUND(0.7*Inputs!$B$4*Inputs!$B$5^(B373-1)*INDEX(Inputs!$C$15:$C$23,MATCH("decoding",Inputs!$A$15:$A$23,0))*Inputs!$B$7*Inputs!$B$6^(D373-1)/Inputs!$B$12,0))</f>
        <v>491</v>
      </c>
      <c r="M373" s="2"/>
      <c r="N373" s="2"/>
      <c r="O373" s="2" t="s">
        <v>668</v>
      </c>
      <c r="P373" s="3"/>
      <c r="Q373" s="2" t="s">
        <v>669</v>
      </c>
      <c r="R373" s="2" t="n">
        <v>0.25</v>
      </c>
      <c r="S373" s="2" t="s">
        <v>267</v>
      </c>
    </row>
    <row r="374" customFormat="false" ht="15" hidden="false" customHeight="false" outlineLevel="0" collapsed="false">
      <c r="A374" s="2" t="s">
        <v>665</v>
      </c>
      <c r="B374" s="2" t="n">
        <v>2</v>
      </c>
      <c r="C374" s="2" t="s">
        <v>94</v>
      </c>
      <c r="D374" s="2" t="n">
        <v>3</v>
      </c>
      <c r="E374" s="2" t="s">
        <v>101</v>
      </c>
      <c r="F374" s="2" t="s">
        <v>22</v>
      </c>
      <c r="G374" s="2" t="s">
        <v>225</v>
      </c>
      <c r="H374" s="3" t="s">
        <v>670</v>
      </c>
      <c r="I374" s="2" t="s">
        <v>266</v>
      </c>
      <c r="J374" s="2" t="s">
        <v>269</v>
      </c>
      <c r="K374" s="3" t="s">
        <v>694</v>
      </c>
      <c r="L374" s="2" t="n">
        <f aca="false">MAX(1,ROUND(0.7*Inputs!$B$4*Inputs!$B$5^(B374-1)*INDEX(Inputs!$C$15:$C$23,MATCH("decoding",Inputs!$A$15:$A$23,0))*Inputs!$B$7*Inputs!$B$6^(D374-1)/Inputs!$B$12,0))</f>
        <v>564</v>
      </c>
      <c r="M374" s="2"/>
      <c r="N374" s="2"/>
      <c r="O374" s="2" t="s">
        <v>668</v>
      </c>
      <c r="P374" s="3"/>
      <c r="Q374" s="2" t="s">
        <v>669</v>
      </c>
      <c r="R374" s="2" t="n">
        <v>0.25</v>
      </c>
      <c r="S374" s="2" t="s">
        <v>268</v>
      </c>
    </row>
    <row r="375" customFormat="false" ht="57.45" hidden="false" customHeight="false" outlineLevel="0" collapsed="false">
      <c r="A375" s="2" t="s">
        <v>665</v>
      </c>
      <c r="B375" s="2" t="n">
        <v>2</v>
      </c>
      <c r="C375" s="2" t="s">
        <v>94</v>
      </c>
      <c r="D375" s="2" t="n">
        <v>4</v>
      </c>
      <c r="E375" s="2" t="s">
        <v>103</v>
      </c>
      <c r="F375" s="2" t="s">
        <v>22</v>
      </c>
      <c r="G375" s="2" t="s">
        <v>234</v>
      </c>
      <c r="H375" s="3" t="s">
        <v>671</v>
      </c>
      <c r="I375" s="2" t="s">
        <v>592</v>
      </c>
      <c r="J375" s="2" t="s">
        <v>621</v>
      </c>
      <c r="K375" s="3" t="s">
        <v>694</v>
      </c>
      <c r="L375" s="2" t="n">
        <f aca="false">MAX(1,ROUND(0.7*Inputs!$B$4*Inputs!$B$5^(B375-1)*INDEX(Inputs!$C$15:$C$23,MATCH("decoding",Inputs!$A$15:$A$23,0))*Inputs!$B$7*Inputs!$B$6^(D375-1)/Inputs!$B$12,0))</f>
        <v>649</v>
      </c>
      <c r="M375" s="2"/>
      <c r="N375" s="2"/>
      <c r="O375" s="2" t="s">
        <v>668</v>
      </c>
      <c r="P375" s="3"/>
      <c r="Q375" s="2" t="s">
        <v>672</v>
      </c>
      <c r="R375" s="2" t="n">
        <v>0.016667</v>
      </c>
      <c r="S375" s="2" t="s">
        <v>597</v>
      </c>
    </row>
    <row r="376" customFormat="false" ht="23.85" hidden="false" customHeight="false" outlineLevel="0" collapsed="false">
      <c r="A376" s="2" t="s">
        <v>665</v>
      </c>
      <c r="B376" s="2" t="n">
        <v>2</v>
      </c>
      <c r="C376" s="2" t="s">
        <v>94</v>
      </c>
      <c r="D376" s="2" t="n">
        <v>5</v>
      </c>
      <c r="E376" s="2" t="s">
        <v>105</v>
      </c>
      <c r="F376" s="2" t="s">
        <v>22</v>
      </c>
      <c r="G376" s="2" t="s">
        <v>234</v>
      </c>
      <c r="H376" s="3" t="s">
        <v>596</v>
      </c>
      <c r="I376" s="2" t="s">
        <v>592</v>
      </c>
      <c r="J376" s="2" t="s">
        <v>622</v>
      </c>
      <c r="K376" s="3" t="s">
        <v>694</v>
      </c>
      <c r="L376" s="2" t="n">
        <f aca="false">MAX(1,ROUND(0.7*Inputs!$B$4*Inputs!$B$5^(B376-1)*INDEX(Inputs!$C$15:$C$23,MATCH("decoding",Inputs!$A$15:$A$23,0))*Inputs!$B$7*Inputs!$B$6^(D376-1)/Inputs!$B$12,0))</f>
        <v>746</v>
      </c>
      <c r="M376" s="2"/>
      <c r="N376" s="2"/>
      <c r="O376" s="2" t="s">
        <v>668</v>
      </c>
      <c r="P376" s="3"/>
      <c r="Q376" s="2" t="s">
        <v>672</v>
      </c>
      <c r="R376" s="2" t="n">
        <v>0.016667</v>
      </c>
      <c r="S376" s="2" t="s">
        <v>621</v>
      </c>
    </row>
    <row r="377" customFormat="false" ht="15" hidden="false" customHeight="false" outlineLevel="0" collapsed="false">
      <c r="A377" s="2" t="s">
        <v>665</v>
      </c>
      <c r="B377" s="2" t="n">
        <v>2</v>
      </c>
      <c r="C377" s="2" t="s">
        <v>94</v>
      </c>
      <c r="D377" s="2" t="n">
        <v>6</v>
      </c>
      <c r="E377" s="2" t="s">
        <v>107</v>
      </c>
      <c r="F377" s="2" t="s">
        <v>22</v>
      </c>
      <c r="G377" s="2" t="s">
        <v>673</v>
      </c>
      <c r="H377" s="3" t="s">
        <v>674</v>
      </c>
      <c r="I377" s="2" t="s">
        <v>363</v>
      </c>
      <c r="J377" s="2" t="s">
        <v>695</v>
      </c>
      <c r="K377" s="3" t="s">
        <v>694</v>
      </c>
      <c r="L377" s="2" t="n">
        <f aca="false">MAX(1,ROUND(0.7*Inputs!$B$4*Inputs!$B$5^(B377-1)*INDEX(Inputs!$C$15:$C$23,MATCH("decoding",Inputs!$A$15:$A$23,0))*Inputs!$B$7*Inputs!$B$6^(D377-1)/Inputs!$B$12,0))</f>
        <v>858</v>
      </c>
      <c r="M377" s="2"/>
      <c r="N377" s="2"/>
      <c r="O377" s="2" t="s">
        <v>668</v>
      </c>
      <c r="P377" s="3"/>
      <c r="Q377" s="2" t="s">
        <v>676</v>
      </c>
      <c r="R377" s="2" t="n">
        <v>0.1</v>
      </c>
      <c r="S377" s="2" t="s">
        <v>675</v>
      </c>
    </row>
    <row r="378" customFormat="false" ht="35.05" hidden="false" customHeight="false" outlineLevel="0" collapsed="false">
      <c r="A378" s="4" t="s">
        <v>665</v>
      </c>
      <c r="B378" s="4" t="n">
        <v>2</v>
      </c>
      <c r="C378" s="4" t="s">
        <v>94</v>
      </c>
      <c r="D378" s="4" t="n">
        <v>7</v>
      </c>
      <c r="E378" s="4" t="s">
        <v>109</v>
      </c>
      <c r="F378" s="4" t="s">
        <v>72</v>
      </c>
      <c r="G378" s="4" t="s">
        <v>678</v>
      </c>
      <c r="H378" s="5" t="s">
        <v>679</v>
      </c>
      <c r="I378" s="4" t="s">
        <v>680</v>
      </c>
      <c r="J378" s="4" t="s">
        <v>696</v>
      </c>
      <c r="K378" s="5" t="s">
        <v>694</v>
      </c>
      <c r="L378" s="4" t="n">
        <f aca="false">MAX(1,ROUND(0.7*Inputs!$B$4*Inputs!$B$5^(B378-1)*INDEX(Inputs!$C$15:$C$23,MATCH("decoding",Inputs!$A$15:$A$23,0))*Inputs!$B$7*Inputs!$B$6^(D378-1)/Inputs!$B$12,0))</f>
        <v>987</v>
      </c>
      <c r="M378" s="4"/>
      <c r="N378" s="4"/>
      <c r="O378" s="4" t="s">
        <v>668</v>
      </c>
      <c r="P378" s="5"/>
      <c r="Q378" s="4" t="s">
        <v>682</v>
      </c>
      <c r="R378" s="4" t="n">
        <v>0.0025</v>
      </c>
      <c r="S378" s="4" t="s">
        <v>681</v>
      </c>
    </row>
    <row r="379" customFormat="false" ht="23.85" hidden="false" customHeight="false" outlineLevel="0" collapsed="false">
      <c r="A379" s="4" t="s">
        <v>665</v>
      </c>
      <c r="B379" s="4" t="n">
        <v>2</v>
      </c>
      <c r="C379" s="4" t="s">
        <v>94</v>
      </c>
      <c r="D379" s="4" t="n">
        <v>8</v>
      </c>
      <c r="E379" s="4" t="s">
        <v>111</v>
      </c>
      <c r="F379" s="4" t="s">
        <v>72</v>
      </c>
      <c r="G379" s="4" t="s">
        <v>684</v>
      </c>
      <c r="H379" s="5" t="s">
        <v>685</v>
      </c>
      <c r="I379" s="4" t="s">
        <v>363</v>
      </c>
      <c r="J379" s="4" t="s">
        <v>695</v>
      </c>
      <c r="K379" s="5" t="s">
        <v>694</v>
      </c>
      <c r="L379" s="4" t="n">
        <f aca="false">MAX(1,ROUND(0.7*Inputs!$B$4*Inputs!$B$5^(B379-1)*INDEX(Inputs!$C$15:$C$23,MATCH("decoding",Inputs!$A$15:$A$23,0))*Inputs!$B$7*Inputs!$B$6^(D379-1)/Inputs!$B$12,0))</f>
        <v>1135</v>
      </c>
      <c r="M379" s="4"/>
      <c r="N379" s="4"/>
      <c r="O379" s="4" t="s">
        <v>668</v>
      </c>
      <c r="P379" s="5"/>
      <c r="Q379" s="4" t="s">
        <v>686</v>
      </c>
      <c r="R379" s="4" t="n">
        <v>0.1</v>
      </c>
      <c r="S379" s="4" t="s">
        <v>675</v>
      </c>
    </row>
    <row r="380" customFormat="false" ht="23.85" hidden="false" customHeight="false" outlineLevel="0" collapsed="false">
      <c r="A380" s="4" t="s">
        <v>665</v>
      </c>
      <c r="B380" s="4" t="n">
        <v>2</v>
      </c>
      <c r="C380" s="4" t="s">
        <v>94</v>
      </c>
      <c r="D380" s="4" t="n">
        <v>9</v>
      </c>
      <c r="E380" s="4" t="s">
        <v>113</v>
      </c>
      <c r="F380" s="4" t="s">
        <v>72</v>
      </c>
      <c r="G380" s="4" t="s">
        <v>687</v>
      </c>
      <c r="H380" s="5" t="s">
        <v>688</v>
      </c>
      <c r="I380" s="4" t="s">
        <v>689</v>
      </c>
      <c r="J380" s="4" t="s">
        <v>697</v>
      </c>
      <c r="K380" s="5" t="s">
        <v>694</v>
      </c>
      <c r="L380" s="4" t="n">
        <f aca="false">MAX(1,ROUND(0.7*Inputs!$B$4*Inputs!$B$5^(B380-1)*INDEX(Inputs!$C$15:$C$23,MATCH("decoding",Inputs!$A$15:$A$23,0))*Inputs!$B$7*Inputs!$B$6^(D380-1)/Inputs!$B$12,0))</f>
        <v>1305</v>
      </c>
      <c r="M380" s="4"/>
      <c r="N380" s="4"/>
      <c r="O380" s="4" t="s">
        <v>668</v>
      </c>
      <c r="P380" s="5"/>
      <c r="Q380" s="4" t="s">
        <v>691</v>
      </c>
      <c r="R380" s="4" t="n">
        <v>1</v>
      </c>
      <c r="S380" s="4" t="s">
        <v>690</v>
      </c>
    </row>
    <row r="381" customFormat="false" ht="15" hidden="false" customHeight="false" outlineLevel="0" collapsed="false">
      <c r="A381" s="6" t="s">
        <v>665</v>
      </c>
      <c r="B381" s="6" t="n">
        <v>2</v>
      </c>
      <c r="C381" s="6" t="s">
        <v>94</v>
      </c>
      <c r="D381" s="6" t="n">
        <v>10</v>
      </c>
      <c r="E381" s="6" t="s">
        <v>115</v>
      </c>
      <c r="F381" s="6" t="s">
        <v>87</v>
      </c>
      <c r="G381" s="6" t="s">
        <v>698</v>
      </c>
      <c r="H381" s="7" t="s">
        <v>699</v>
      </c>
      <c r="I381" s="6" t="s">
        <v>90</v>
      </c>
      <c r="J381" s="6"/>
      <c r="K381" s="7" t="s">
        <v>694</v>
      </c>
      <c r="L381" s="6" t="n">
        <f aca="false">MAX(1,ROUND(0.7*Inputs!$B$4*Inputs!$B$5^(B381-1)*INDEX(Inputs!$C$15:$C$23,MATCH("decoding",Inputs!$A$15:$A$23,0))*Inputs!$B$7*Inputs!$B$6^(D381-1)/Inputs!$B$12,0))</f>
        <v>1501</v>
      </c>
      <c r="M381" s="6" t="s">
        <v>278</v>
      </c>
      <c r="N381" s="6" t="n">
        <v>1</v>
      </c>
      <c r="O381" s="6" t="s">
        <v>668</v>
      </c>
      <c r="P381" s="7"/>
      <c r="Q381" s="6" t="s">
        <v>700</v>
      </c>
      <c r="R381" s="8" t="b">
        <f aca="false">TRUE()</f>
        <v>1</v>
      </c>
      <c r="S381" s="6" t="s">
        <v>93</v>
      </c>
    </row>
    <row r="382" customFormat="false" ht="23.85" hidden="false" customHeight="false" outlineLevel="0" collapsed="false">
      <c r="A382" s="2" t="s">
        <v>665</v>
      </c>
      <c r="B382" s="2" t="n">
        <v>3</v>
      </c>
      <c r="C382" s="2" t="s">
        <v>120</v>
      </c>
      <c r="D382" s="2" t="n">
        <v>1</v>
      </c>
      <c r="E382" s="2" t="s">
        <v>121</v>
      </c>
      <c r="F382" s="2" t="s">
        <v>22</v>
      </c>
      <c r="G382" s="2" t="s">
        <v>225</v>
      </c>
      <c r="H382" s="3" t="s">
        <v>666</v>
      </c>
      <c r="I382" s="2" t="s">
        <v>280</v>
      </c>
      <c r="J382" s="2" t="s">
        <v>281</v>
      </c>
      <c r="K382" s="3" t="s">
        <v>701</v>
      </c>
      <c r="L382" s="2" t="n">
        <f aca="false">MAX(1,ROUND(0.85*Inputs!$B$4*Inputs!$B$5^(B382-1)*INDEX(Inputs!$C$15:$C$23,MATCH("decoding",Inputs!$A$15:$A$23,0))*Inputs!$B$7*Inputs!$B$6^(D382-1)/Inputs!$B$12,0))</f>
        <v>570</v>
      </c>
      <c r="M382" s="2"/>
      <c r="N382" s="2"/>
      <c r="O382" s="2" t="s">
        <v>668</v>
      </c>
      <c r="P382" s="3"/>
      <c r="Q382" s="2" t="s">
        <v>669</v>
      </c>
      <c r="R382" s="2" t="n">
        <v>0.375</v>
      </c>
      <c r="S382" s="2" t="s">
        <v>269</v>
      </c>
    </row>
    <row r="383" customFormat="false" ht="15" hidden="false" customHeight="false" outlineLevel="0" collapsed="false">
      <c r="A383" s="2" t="s">
        <v>665</v>
      </c>
      <c r="B383" s="2" t="n">
        <v>3</v>
      </c>
      <c r="C383" s="2" t="s">
        <v>120</v>
      </c>
      <c r="D383" s="2" t="n">
        <v>2</v>
      </c>
      <c r="E383" s="2" t="s">
        <v>125</v>
      </c>
      <c r="F383" s="2" t="s">
        <v>22</v>
      </c>
      <c r="G383" s="2" t="s">
        <v>225</v>
      </c>
      <c r="H383" s="3" t="s">
        <v>670</v>
      </c>
      <c r="I383" s="2" t="s">
        <v>280</v>
      </c>
      <c r="J383" s="2" t="s">
        <v>282</v>
      </c>
      <c r="K383" s="3" t="s">
        <v>701</v>
      </c>
      <c r="L383" s="2" t="n">
        <f aca="false">MAX(1,ROUND(0.85*Inputs!$B$4*Inputs!$B$5^(B383-1)*INDEX(Inputs!$C$15:$C$23,MATCH("decoding",Inputs!$A$15:$A$23,0))*Inputs!$B$7*Inputs!$B$6^(D383-1)/Inputs!$B$12,0))</f>
        <v>655</v>
      </c>
      <c r="M383" s="2"/>
      <c r="N383" s="2"/>
      <c r="O383" s="2" t="s">
        <v>668</v>
      </c>
      <c r="P383" s="3"/>
      <c r="Q383" s="2" t="s">
        <v>669</v>
      </c>
      <c r="R383" s="2" t="n">
        <v>0.375</v>
      </c>
      <c r="S383" s="2" t="s">
        <v>281</v>
      </c>
    </row>
    <row r="384" customFormat="false" ht="15" hidden="false" customHeight="false" outlineLevel="0" collapsed="false">
      <c r="A384" s="2" t="s">
        <v>665</v>
      </c>
      <c r="B384" s="2" t="n">
        <v>3</v>
      </c>
      <c r="C384" s="2" t="s">
        <v>120</v>
      </c>
      <c r="D384" s="2" t="n">
        <v>3</v>
      </c>
      <c r="E384" s="2" t="s">
        <v>127</v>
      </c>
      <c r="F384" s="2" t="s">
        <v>22</v>
      </c>
      <c r="G384" s="2" t="s">
        <v>225</v>
      </c>
      <c r="H384" s="3" t="s">
        <v>670</v>
      </c>
      <c r="I384" s="2" t="s">
        <v>280</v>
      </c>
      <c r="J384" s="2" t="s">
        <v>283</v>
      </c>
      <c r="K384" s="3" t="s">
        <v>701</v>
      </c>
      <c r="L384" s="2" t="n">
        <f aca="false">MAX(1,ROUND(0.85*Inputs!$B$4*Inputs!$B$5^(B384-1)*INDEX(Inputs!$C$15:$C$23,MATCH("decoding",Inputs!$A$15:$A$23,0))*Inputs!$B$7*Inputs!$B$6^(D384-1)/Inputs!$B$12,0))</f>
        <v>754</v>
      </c>
      <c r="M384" s="2"/>
      <c r="N384" s="2"/>
      <c r="O384" s="2" t="s">
        <v>668</v>
      </c>
      <c r="P384" s="3"/>
      <c r="Q384" s="2" t="s">
        <v>669</v>
      </c>
      <c r="R384" s="2" t="n">
        <v>0.375</v>
      </c>
      <c r="S384" s="2" t="s">
        <v>282</v>
      </c>
    </row>
    <row r="385" customFormat="false" ht="57.45" hidden="false" customHeight="false" outlineLevel="0" collapsed="false">
      <c r="A385" s="2" t="s">
        <v>665</v>
      </c>
      <c r="B385" s="2" t="n">
        <v>3</v>
      </c>
      <c r="C385" s="2" t="s">
        <v>120</v>
      </c>
      <c r="D385" s="2" t="n">
        <v>4</v>
      </c>
      <c r="E385" s="2" t="s">
        <v>129</v>
      </c>
      <c r="F385" s="2" t="s">
        <v>22</v>
      </c>
      <c r="G385" s="2" t="s">
        <v>234</v>
      </c>
      <c r="H385" s="3" t="s">
        <v>671</v>
      </c>
      <c r="I385" s="2" t="s">
        <v>592</v>
      </c>
      <c r="J385" s="2" t="s">
        <v>630</v>
      </c>
      <c r="K385" s="3" t="s">
        <v>701</v>
      </c>
      <c r="L385" s="2" t="n">
        <f aca="false">MAX(1,ROUND(0.85*Inputs!$B$4*Inputs!$B$5^(B385-1)*INDEX(Inputs!$C$15:$C$23,MATCH("decoding",Inputs!$A$15:$A$23,0))*Inputs!$B$7*Inputs!$B$6^(D385-1)/Inputs!$B$12,0))</f>
        <v>867</v>
      </c>
      <c r="M385" s="2"/>
      <c r="N385" s="2"/>
      <c r="O385" s="2" t="s">
        <v>668</v>
      </c>
      <c r="P385" s="3"/>
      <c r="Q385" s="2" t="s">
        <v>672</v>
      </c>
      <c r="R385" s="2" t="n">
        <v>0.016667</v>
      </c>
      <c r="S385" s="2" t="s">
        <v>622</v>
      </c>
    </row>
    <row r="386" customFormat="false" ht="23.85" hidden="false" customHeight="false" outlineLevel="0" collapsed="false">
      <c r="A386" s="2" t="s">
        <v>665</v>
      </c>
      <c r="B386" s="2" t="n">
        <v>3</v>
      </c>
      <c r="C386" s="2" t="s">
        <v>120</v>
      </c>
      <c r="D386" s="2" t="n">
        <v>5</v>
      </c>
      <c r="E386" s="2" t="s">
        <v>131</v>
      </c>
      <c r="F386" s="2" t="s">
        <v>22</v>
      </c>
      <c r="G386" s="2" t="s">
        <v>234</v>
      </c>
      <c r="H386" s="3" t="s">
        <v>596</v>
      </c>
      <c r="I386" s="2" t="s">
        <v>592</v>
      </c>
      <c r="J386" s="2" t="s">
        <v>631</v>
      </c>
      <c r="K386" s="3" t="s">
        <v>701</v>
      </c>
      <c r="L386" s="2" t="n">
        <f aca="false">MAX(1,ROUND(0.85*Inputs!$B$4*Inputs!$B$5^(B386-1)*INDEX(Inputs!$C$15:$C$23,MATCH("decoding",Inputs!$A$15:$A$23,0))*Inputs!$B$7*Inputs!$B$6^(D386-1)/Inputs!$B$12,0))</f>
        <v>997</v>
      </c>
      <c r="M386" s="2"/>
      <c r="N386" s="2"/>
      <c r="O386" s="2" t="s">
        <v>668</v>
      </c>
      <c r="P386" s="3"/>
      <c r="Q386" s="2" t="s">
        <v>672</v>
      </c>
      <c r="R386" s="2" t="n">
        <v>0.016667</v>
      </c>
      <c r="S386" s="2" t="s">
        <v>630</v>
      </c>
    </row>
    <row r="387" customFormat="false" ht="15" hidden="false" customHeight="false" outlineLevel="0" collapsed="false">
      <c r="A387" s="2" t="s">
        <v>665</v>
      </c>
      <c r="B387" s="2" t="n">
        <v>3</v>
      </c>
      <c r="C387" s="2" t="s">
        <v>120</v>
      </c>
      <c r="D387" s="2" t="n">
        <v>6</v>
      </c>
      <c r="E387" s="2" t="s">
        <v>133</v>
      </c>
      <c r="F387" s="2" t="s">
        <v>22</v>
      </c>
      <c r="G387" s="2" t="s">
        <v>673</v>
      </c>
      <c r="H387" s="3" t="s">
        <v>674</v>
      </c>
      <c r="I387" s="2" t="s">
        <v>363</v>
      </c>
      <c r="J387" s="2" t="s">
        <v>702</v>
      </c>
      <c r="K387" s="3" t="s">
        <v>701</v>
      </c>
      <c r="L387" s="2" t="n">
        <f aca="false">MAX(1,ROUND(0.85*Inputs!$B$4*Inputs!$B$5^(B387-1)*INDEX(Inputs!$C$15:$C$23,MATCH("decoding",Inputs!$A$15:$A$23,0))*Inputs!$B$7*Inputs!$B$6^(D387-1)/Inputs!$B$12,0))</f>
        <v>1146</v>
      </c>
      <c r="M387" s="2"/>
      <c r="N387" s="2"/>
      <c r="O387" s="2" t="s">
        <v>668</v>
      </c>
      <c r="P387" s="3"/>
      <c r="Q387" s="2" t="s">
        <v>676</v>
      </c>
      <c r="R387" s="2" t="n">
        <v>0.1</v>
      </c>
      <c r="S387" s="2" t="s">
        <v>695</v>
      </c>
    </row>
    <row r="388" customFormat="false" ht="35.05" hidden="false" customHeight="false" outlineLevel="0" collapsed="false">
      <c r="A388" s="4" t="s">
        <v>665</v>
      </c>
      <c r="B388" s="4" t="n">
        <v>3</v>
      </c>
      <c r="C388" s="4" t="s">
        <v>120</v>
      </c>
      <c r="D388" s="4" t="n">
        <v>7</v>
      </c>
      <c r="E388" s="4" t="s">
        <v>135</v>
      </c>
      <c r="F388" s="4" t="s">
        <v>72</v>
      </c>
      <c r="G388" s="4" t="s">
        <v>678</v>
      </c>
      <c r="H388" s="5" t="s">
        <v>679</v>
      </c>
      <c r="I388" s="4" t="s">
        <v>680</v>
      </c>
      <c r="J388" s="4" t="s">
        <v>703</v>
      </c>
      <c r="K388" s="5" t="s">
        <v>701</v>
      </c>
      <c r="L388" s="4" t="n">
        <f aca="false">MAX(1,ROUND(0.85*Inputs!$B$4*Inputs!$B$5^(B388-1)*INDEX(Inputs!$C$15:$C$23,MATCH("decoding",Inputs!$A$15:$A$23,0))*Inputs!$B$7*Inputs!$B$6^(D388-1)/Inputs!$B$12,0))</f>
        <v>1318</v>
      </c>
      <c r="M388" s="4"/>
      <c r="N388" s="4"/>
      <c r="O388" s="4" t="s">
        <v>668</v>
      </c>
      <c r="P388" s="5"/>
      <c r="Q388" s="4" t="s">
        <v>682</v>
      </c>
      <c r="R388" s="4" t="n">
        <v>0.0025</v>
      </c>
      <c r="S388" s="4" t="s">
        <v>696</v>
      </c>
    </row>
    <row r="389" customFormat="false" ht="23.85" hidden="false" customHeight="false" outlineLevel="0" collapsed="false">
      <c r="A389" s="4" t="s">
        <v>665</v>
      </c>
      <c r="B389" s="4" t="n">
        <v>3</v>
      </c>
      <c r="C389" s="4" t="s">
        <v>120</v>
      </c>
      <c r="D389" s="4" t="n">
        <v>8</v>
      </c>
      <c r="E389" s="4" t="s">
        <v>137</v>
      </c>
      <c r="F389" s="4" t="s">
        <v>72</v>
      </c>
      <c r="G389" s="4" t="s">
        <v>684</v>
      </c>
      <c r="H389" s="5" t="s">
        <v>685</v>
      </c>
      <c r="I389" s="4" t="s">
        <v>363</v>
      </c>
      <c r="J389" s="4" t="s">
        <v>702</v>
      </c>
      <c r="K389" s="5" t="s">
        <v>701</v>
      </c>
      <c r="L389" s="4" t="n">
        <f aca="false">MAX(1,ROUND(0.85*Inputs!$B$4*Inputs!$B$5^(B389-1)*INDEX(Inputs!$C$15:$C$23,MATCH("decoding",Inputs!$A$15:$A$23,0))*Inputs!$B$7*Inputs!$B$6^(D389-1)/Inputs!$B$12,0))</f>
        <v>1516</v>
      </c>
      <c r="M389" s="4"/>
      <c r="N389" s="4"/>
      <c r="O389" s="4" t="s">
        <v>668</v>
      </c>
      <c r="P389" s="5"/>
      <c r="Q389" s="4" t="s">
        <v>686</v>
      </c>
      <c r="R389" s="4" t="n">
        <v>0.1</v>
      </c>
      <c r="S389" s="4" t="s">
        <v>695</v>
      </c>
    </row>
    <row r="390" customFormat="false" ht="23.85" hidden="false" customHeight="false" outlineLevel="0" collapsed="false">
      <c r="A390" s="4" t="s">
        <v>665</v>
      </c>
      <c r="B390" s="4" t="n">
        <v>3</v>
      </c>
      <c r="C390" s="4" t="s">
        <v>120</v>
      </c>
      <c r="D390" s="4" t="n">
        <v>9</v>
      </c>
      <c r="E390" s="4" t="s">
        <v>139</v>
      </c>
      <c r="F390" s="4" t="s">
        <v>72</v>
      </c>
      <c r="G390" s="4" t="s">
        <v>687</v>
      </c>
      <c r="H390" s="5" t="s">
        <v>688</v>
      </c>
      <c r="I390" s="4" t="s">
        <v>689</v>
      </c>
      <c r="J390" s="4" t="s">
        <v>704</v>
      </c>
      <c r="K390" s="5" t="s">
        <v>701</v>
      </c>
      <c r="L390" s="4" t="n">
        <f aca="false">MAX(1,ROUND(0.85*Inputs!$B$4*Inputs!$B$5^(B390-1)*INDEX(Inputs!$C$15:$C$23,MATCH("decoding",Inputs!$A$15:$A$23,0))*Inputs!$B$7*Inputs!$B$6^(D390-1)/Inputs!$B$12,0))</f>
        <v>1743</v>
      </c>
      <c r="M390" s="4"/>
      <c r="N390" s="4"/>
      <c r="O390" s="4" t="s">
        <v>668</v>
      </c>
      <c r="P390" s="5"/>
      <c r="Q390" s="4" t="s">
        <v>691</v>
      </c>
      <c r="R390" s="4" t="n">
        <v>1</v>
      </c>
      <c r="S390" s="4" t="s">
        <v>697</v>
      </c>
    </row>
    <row r="391" customFormat="false" ht="35.05" hidden="false" customHeight="false" outlineLevel="0" collapsed="false">
      <c r="A391" s="6" t="s">
        <v>665</v>
      </c>
      <c r="B391" s="6" t="n">
        <v>3</v>
      </c>
      <c r="C391" s="6" t="s">
        <v>120</v>
      </c>
      <c r="D391" s="6" t="n">
        <v>10</v>
      </c>
      <c r="E391" s="6" t="s">
        <v>141</v>
      </c>
      <c r="F391" s="6" t="s">
        <v>87</v>
      </c>
      <c r="G391" s="6" t="s">
        <v>705</v>
      </c>
      <c r="H391" s="7" t="s">
        <v>706</v>
      </c>
      <c r="I391" s="6" t="s">
        <v>90</v>
      </c>
      <c r="J391" s="6"/>
      <c r="K391" s="7" t="s">
        <v>701</v>
      </c>
      <c r="L391" s="6" t="n">
        <f aca="false">MAX(1,ROUND(0.85*Inputs!$B$4*Inputs!$B$5^(B391-1)*INDEX(Inputs!$C$15:$C$23,MATCH("decoding",Inputs!$A$15:$A$23,0))*Inputs!$B$7*Inputs!$B$6^(D391-1)/Inputs!$B$12,0))</f>
        <v>2005</v>
      </c>
      <c r="M391" s="6" t="s">
        <v>292</v>
      </c>
      <c r="N391" s="6" t="n">
        <v>2</v>
      </c>
      <c r="O391" s="6" t="s">
        <v>668</v>
      </c>
      <c r="P391" s="7"/>
      <c r="Q391" s="6" t="s">
        <v>707</v>
      </c>
      <c r="R391" s="8" t="b">
        <f aca="false">TRUE()</f>
        <v>1</v>
      </c>
      <c r="S391" s="6" t="s">
        <v>93</v>
      </c>
    </row>
    <row r="392" customFormat="false" ht="23.85" hidden="false" customHeight="false" outlineLevel="0" collapsed="false">
      <c r="A392" s="2" t="s">
        <v>665</v>
      </c>
      <c r="B392" s="2" t="n">
        <v>4</v>
      </c>
      <c r="C392" s="2" t="s">
        <v>146</v>
      </c>
      <c r="D392" s="2" t="n">
        <v>1</v>
      </c>
      <c r="E392" s="2" t="s">
        <v>147</v>
      </c>
      <c r="F392" s="2" t="s">
        <v>22</v>
      </c>
      <c r="G392" s="2" t="s">
        <v>225</v>
      </c>
      <c r="H392" s="3" t="s">
        <v>666</v>
      </c>
      <c r="I392" s="2" t="s">
        <v>294</v>
      </c>
      <c r="J392" s="2" t="s">
        <v>295</v>
      </c>
      <c r="K392" s="3" t="s">
        <v>708</v>
      </c>
      <c r="L392" s="2" t="n">
        <f aca="false">MAX(1,ROUND(0.75*Inputs!$B$4*Inputs!$B$5^(B392-1)*INDEX(Inputs!$C$15:$C$23,MATCH("decoding",Inputs!$A$15:$A$23,0))*Inputs!$B$7*Inputs!$B$6^(D392-1)/Inputs!$B$12,0))</f>
        <v>553</v>
      </c>
      <c r="M392" s="2"/>
      <c r="N392" s="2"/>
      <c r="O392" s="2" t="s">
        <v>668</v>
      </c>
      <c r="P392" s="3"/>
      <c r="Q392" s="2" t="s">
        <v>669</v>
      </c>
      <c r="R392" s="2" t="n">
        <v>0.5625</v>
      </c>
      <c r="S392" s="2" t="s">
        <v>283</v>
      </c>
    </row>
    <row r="393" customFormat="false" ht="15" hidden="false" customHeight="false" outlineLevel="0" collapsed="false">
      <c r="A393" s="2" t="s">
        <v>665</v>
      </c>
      <c r="B393" s="2" t="n">
        <v>4</v>
      </c>
      <c r="C393" s="2" t="s">
        <v>146</v>
      </c>
      <c r="D393" s="2" t="n">
        <v>2</v>
      </c>
      <c r="E393" s="2" t="s">
        <v>151</v>
      </c>
      <c r="F393" s="2" t="s">
        <v>22</v>
      </c>
      <c r="G393" s="2" t="s">
        <v>225</v>
      </c>
      <c r="H393" s="3" t="s">
        <v>670</v>
      </c>
      <c r="I393" s="2" t="s">
        <v>294</v>
      </c>
      <c r="J393" s="2" t="s">
        <v>296</v>
      </c>
      <c r="K393" s="3" t="s">
        <v>708</v>
      </c>
      <c r="L393" s="2" t="n">
        <f aca="false">MAX(1,ROUND(0.75*Inputs!$B$4*Inputs!$B$5^(B393-1)*INDEX(Inputs!$C$15:$C$23,MATCH("decoding",Inputs!$A$15:$A$23,0))*Inputs!$B$7*Inputs!$B$6^(D393-1)/Inputs!$B$12,0))</f>
        <v>636</v>
      </c>
      <c r="M393" s="2"/>
      <c r="N393" s="2"/>
      <c r="O393" s="2" t="s">
        <v>668</v>
      </c>
      <c r="P393" s="3"/>
      <c r="Q393" s="2" t="s">
        <v>669</v>
      </c>
      <c r="R393" s="2" t="n">
        <v>0.5625</v>
      </c>
      <c r="S393" s="2" t="s">
        <v>295</v>
      </c>
    </row>
    <row r="394" customFormat="false" ht="15" hidden="false" customHeight="false" outlineLevel="0" collapsed="false">
      <c r="A394" s="2" t="s">
        <v>665</v>
      </c>
      <c r="B394" s="2" t="n">
        <v>4</v>
      </c>
      <c r="C394" s="2" t="s">
        <v>146</v>
      </c>
      <c r="D394" s="2" t="n">
        <v>3</v>
      </c>
      <c r="E394" s="2" t="s">
        <v>153</v>
      </c>
      <c r="F394" s="2" t="s">
        <v>22</v>
      </c>
      <c r="G394" s="2" t="s">
        <v>225</v>
      </c>
      <c r="H394" s="3" t="s">
        <v>670</v>
      </c>
      <c r="I394" s="2" t="s">
        <v>294</v>
      </c>
      <c r="J394" s="2" t="s">
        <v>297</v>
      </c>
      <c r="K394" s="3" t="s">
        <v>708</v>
      </c>
      <c r="L394" s="2" t="n">
        <f aca="false">MAX(1,ROUND(0.75*Inputs!$B$4*Inputs!$B$5^(B394-1)*INDEX(Inputs!$C$15:$C$23,MATCH("decoding",Inputs!$A$15:$A$23,0))*Inputs!$B$7*Inputs!$B$6^(D394-1)/Inputs!$B$12,0))</f>
        <v>731</v>
      </c>
      <c r="M394" s="2"/>
      <c r="N394" s="2"/>
      <c r="O394" s="2" t="s">
        <v>668</v>
      </c>
      <c r="P394" s="3"/>
      <c r="Q394" s="2" t="s">
        <v>669</v>
      </c>
      <c r="R394" s="2" t="n">
        <v>0.5625</v>
      </c>
      <c r="S394" s="2" t="s">
        <v>296</v>
      </c>
    </row>
    <row r="395" customFormat="false" ht="57.45" hidden="false" customHeight="false" outlineLevel="0" collapsed="false">
      <c r="A395" s="2" t="s">
        <v>665</v>
      </c>
      <c r="B395" s="2" t="n">
        <v>4</v>
      </c>
      <c r="C395" s="2" t="s">
        <v>146</v>
      </c>
      <c r="D395" s="2" t="n">
        <v>4</v>
      </c>
      <c r="E395" s="2" t="s">
        <v>155</v>
      </c>
      <c r="F395" s="2" t="s">
        <v>22</v>
      </c>
      <c r="G395" s="2" t="s">
        <v>234</v>
      </c>
      <c r="H395" s="3" t="s">
        <v>671</v>
      </c>
      <c r="I395" s="2" t="s">
        <v>592</v>
      </c>
      <c r="J395" s="2" t="s">
        <v>639</v>
      </c>
      <c r="K395" s="3" t="s">
        <v>708</v>
      </c>
      <c r="L395" s="2" t="n">
        <f aca="false">MAX(1,ROUND(0.75*Inputs!$B$4*Inputs!$B$5^(B395-1)*INDEX(Inputs!$C$15:$C$23,MATCH("decoding",Inputs!$A$15:$A$23,0))*Inputs!$B$7*Inputs!$B$6^(D395-1)/Inputs!$B$12,0))</f>
        <v>841</v>
      </c>
      <c r="M395" s="2"/>
      <c r="N395" s="2"/>
      <c r="O395" s="2" t="s">
        <v>668</v>
      </c>
      <c r="P395" s="3"/>
      <c r="Q395" s="2" t="s">
        <v>672</v>
      </c>
      <c r="R395" s="2" t="n">
        <v>0.016667</v>
      </c>
      <c r="S395" s="2" t="s">
        <v>631</v>
      </c>
    </row>
    <row r="396" customFormat="false" ht="23.85" hidden="false" customHeight="false" outlineLevel="0" collapsed="false">
      <c r="A396" s="2" t="s">
        <v>665</v>
      </c>
      <c r="B396" s="2" t="n">
        <v>4</v>
      </c>
      <c r="C396" s="2" t="s">
        <v>146</v>
      </c>
      <c r="D396" s="2" t="n">
        <v>5</v>
      </c>
      <c r="E396" s="2" t="s">
        <v>157</v>
      </c>
      <c r="F396" s="2" t="s">
        <v>22</v>
      </c>
      <c r="G396" s="2" t="s">
        <v>234</v>
      </c>
      <c r="H396" s="3" t="s">
        <v>596</v>
      </c>
      <c r="I396" s="2" t="s">
        <v>592</v>
      </c>
      <c r="J396" s="2" t="s">
        <v>640</v>
      </c>
      <c r="K396" s="3" t="s">
        <v>708</v>
      </c>
      <c r="L396" s="2" t="n">
        <f aca="false">MAX(1,ROUND(0.75*Inputs!$B$4*Inputs!$B$5^(B396-1)*INDEX(Inputs!$C$15:$C$23,MATCH("decoding",Inputs!$A$15:$A$23,0))*Inputs!$B$7*Inputs!$B$6^(D396-1)/Inputs!$B$12,0))</f>
        <v>967</v>
      </c>
      <c r="M396" s="2"/>
      <c r="N396" s="2"/>
      <c r="O396" s="2" t="s">
        <v>668</v>
      </c>
      <c r="P396" s="3"/>
      <c r="Q396" s="2" t="s">
        <v>672</v>
      </c>
      <c r="R396" s="2" t="n">
        <v>0.016667</v>
      </c>
      <c r="S396" s="2" t="s">
        <v>639</v>
      </c>
    </row>
    <row r="397" customFormat="false" ht="15" hidden="false" customHeight="false" outlineLevel="0" collapsed="false">
      <c r="A397" s="2" t="s">
        <v>665</v>
      </c>
      <c r="B397" s="2" t="n">
        <v>4</v>
      </c>
      <c r="C397" s="2" t="s">
        <v>146</v>
      </c>
      <c r="D397" s="2" t="n">
        <v>6</v>
      </c>
      <c r="E397" s="2" t="s">
        <v>159</v>
      </c>
      <c r="F397" s="2" t="s">
        <v>22</v>
      </c>
      <c r="G397" s="2" t="s">
        <v>673</v>
      </c>
      <c r="H397" s="3" t="s">
        <v>674</v>
      </c>
      <c r="I397" s="2" t="s">
        <v>363</v>
      </c>
      <c r="J397" s="2" t="s">
        <v>709</v>
      </c>
      <c r="K397" s="3" t="s">
        <v>708</v>
      </c>
      <c r="L397" s="2" t="n">
        <f aca="false">MAX(1,ROUND(0.75*Inputs!$B$4*Inputs!$B$5^(B397-1)*INDEX(Inputs!$C$15:$C$23,MATCH("decoding",Inputs!$A$15:$A$23,0))*Inputs!$B$7*Inputs!$B$6^(D397-1)/Inputs!$B$12,0))</f>
        <v>1113</v>
      </c>
      <c r="M397" s="2"/>
      <c r="N397" s="2"/>
      <c r="O397" s="2" t="s">
        <v>668</v>
      </c>
      <c r="P397" s="3"/>
      <c r="Q397" s="2" t="s">
        <v>676</v>
      </c>
      <c r="R397" s="2" t="n">
        <v>0.1</v>
      </c>
      <c r="S397" s="2" t="s">
        <v>702</v>
      </c>
    </row>
    <row r="398" customFormat="false" ht="35.05" hidden="false" customHeight="false" outlineLevel="0" collapsed="false">
      <c r="A398" s="4" t="s">
        <v>665</v>
      </c>
      <c r="B398" s="4" t="n">
        <v>4</v>
      </c>
      <c r="C398" s="4" t="s">
        <v>146</v>
      </c>
      <c r="D398" s="4" t="n">
        <v>7</v>
      </c>
      <c r="E398" s="4" t="s">
        <v>161</v>
      </c>
      <c r="F398" s="4" t="s">
        <v>72</v>
      </c>
      <c r="G398" s="4" t="s">
        <v>678</v>
      </c>
      <c r="H398" s="5" t="s">
        <v>679</v>
      </c>
      <c r="I398" s="4" t="s">
        <v>680</v>
      </c>
      <c r="J398" s="4" t="s">
        <v>710</v>
      </c>
      <c r="K398" s="5" t="s">
        <v>708</v>
      </c>
      <c r="L398" s="4" t="n">
        <f aca="false">MAX(1,ROUND(0.75*Inputs!$B$4*Inputs!$B$5^(B398-1)*INDEX(Inputs!$C$15:$C$23,MATCH("decoding",Inputs!$A$15:$A$23,0))*Inputs!$B$7*Inputs!$B$6^(D398-1)/Inputs!$B$12,0))</f>
        <v>1279</v>
      </c>
      <c r="M398" s="4"/>
      <c r="N398" s="4"/>
      <c r="O398" s="4" t="s">
        <v>668</v>
      </c>
      <c r="P398" s="5"/>
      <c r="Q398" s="4" t="s">
        <v>682</v>
      </c>
      <c r="R398" s="4" t="n">
        <v>0.0025</v>
      </c>
      <c r="S398" s="4" t="s">
        <v>703</v>
      </c>
    </row>
    <row r="399" customFormat="false" ht="23.85" hidden="false" customHeight="false" outlineLevel="0" collapsed="false">
      <c r="A399" s="4" t="s">
        <v>665</v>
      </c>
      <c r="B399" s="4" t="n">
        <v>4</v>
      </c>
      <c r="C399" s="4" t="s">
        <v>146</v>
      </c>
      <c r="D399" s="4" t="n">
        <v>8</v>
      </c>
      <c r="E399" s="4" t="s">
        <v>163</v>
      </c>
      <c r="F399" s="4" t="s">
        <v>72</v>
      </c>
      <c r="G399" s="4" t="s">
        <v>684</v>
      </c>
      <c r="H399" s="5" t="s">
        <v>685</v>
      </c>
      <c r="I399" s="4" t="s">
        <v>363</v>
      </c>
      <c r="J399" s="4" t="s">
        <v>709</v>
      </c>
      <c r="K399" s="5" t="s">
        <v>708</v>
      </c>
      <c r="L399" s="4" t="n">
        <f aca="false">MAX(1,ROUND(0.75*Inputs!$B$4*Inputs!$B$5^(B399-1)*INDEX(Inputs!$C$15:$C$23,MATCH("decoding",Inputs!$A$15:$A$23,0))*Inputs!$B$7*Inputs!$B$6^(D399-1)/Inputs!$B$12,0))</f>
        <v>1471</v>
      </c>
      <c r="M399" s="4"/>
      <c r="N399" s="4"/>
      <c r="O399" s="4" t="s">
        <v>668</v>
      </c>
      <c r="P399" s="5"/>
      <c r="Q399" s="4" t="s">
        <v>686</v>
      </c>
      <c r="R399" s="4" t="n">
        <v>0.1</v>
      </c>
      <c r="S399" s="4" t="s">
        <v>702</v>
      </c>
    </row>
    <row r="400" customFormat="false" ht="23.85" hidden="false" customHeight="false" outlineLevel="0" collapsed="false">
      <c r="A400" s="4" t="s">
        <v>665</v>
      </c>
      <c r="B400" s="4" t="n">
        <v>4</v>
      </c>
      <c r="C400" s="4" t="s">
        <v>146</v>
      </c>
      <c r="D400" s="4" t="n">
        <v>9</v>
      </c>
      <c r="E400" s="4" t="s">
        <v>165</v>
      </c>
      <c r="F400" s="4" t="s">
        <v>72</v>
      </c>
      <c r="G400" s="4" t="s">
        <v>687</v>
      </c>
      <c r="H400" s="5" t="s">
        <v>688</v>
      </c>
      <c r="I400" s="4" t="s">
        <v>689</v>
      </c>
      <c r="J400" s="4" t="s">
        <v>711</v>
      </c>
      <c r="K400" s="5" t="s">
        <v>708</v>
      </c>
      <c r="L400" s="4" t="n">
        <f aca="false">MAX(1,ROUND(0.75*Inputs!$B$4*Inputs!$B$5^(B400-1)*INDEX(Inputs!$C$15:$C$23,MATCH("decoding",Inputs!$A$15:$A$23,0))*Inputs!$B$7*Inputs!$B$6^(D400-1)/Inputs!$B$12,0))</f>
        <v>1692</v>
      </c>
      <c r="M400" s="4"/>
      <c r="N400" s="4"/>
      <c r="O400" s="4" t="s">
        <v>668</v>
      </c>
      <c r="P400" s="5"/>
      <c r="Q400" s="4" t="s">
        <v>691</v>
      </c>
      <c r="R400" s="4" t="n">
        <v>1</v>
      </c>
      <c r="S400" s="4" t="s">
        <v>704</v>
      </c>
    </row>
    <row r="401" customFormat="false" ht="35.05" hidden="false" customHeight="false" outlineLevel="0" collapsed="false">
      <c r="A401" s="6" t="s">
        <v>665</v>
      </c>
      <c r="B401" s="6" t="n">
        <v>4</v>
      </c>
      <c r="C401" s="6" t="s">
        <v>146</v>
      </c>
      <c r="D401" s="6" t="n">
        <v>10</v>
      </c>
      <c r="E401" s="6" t="s">
        <v>167</v>
      </c>
      <c r="F401" s="6" t="s">
        <v>87</v>
      </c>
      <c r="G401" s="6" t="s">
        <v>712</v>
      </c>
      <c r="H401" s="7" t="s">
        <v>713</v>
      </c>
      <c r="I401" s="6" t="s">
        <v>90</v>
      </c>
      <c r="J401" s="6"/>
      <c r="K401" s="7" t="s">
        <v>708</v>
      </c>
      <c r="L401" s="6" t="n">
        <f aca="false">MAX(1,ROUND(0.75*Inputs!$B$4*Inputs!$B$5^(B401-1)*INDEX(Inputs!$C$15:$C$23,MATCH("decoding",Inputs!$A$15:$A$23,0))*Inputs!$B$7*Inputs!$B$6^(D401-1)/Inputs!$B$12,0))</f>
        <v>1946</v>
      </c>
      <c r="M401" s="6" t="s">
        <v>306</v>
      </c>
      <c r="N401" s="6" t="n">
        <v>2</v>
      </c>
      <c r="O401" s="6" t="s">
        <v>668</v>
      </c>
      <c r="P401" s="7"/>
      <c r="Q401" s="6" t="s">
        <v>714</v>
      </c>
      <c r="R401" s="8" t="b">
        <f aca="false">TRUE()</f>
        <v>1</v>
      </c>
      <c r="S401" s="6" t="s">
        <v>93</v>
      </c>
    </row>
    <row r="402" customFormat="false" ht="23.85" hidden="false" customHeight="false" outlineLevel="0" collapsed="false">
      <c r="A402" s="2" t="s">
        <v>665</v>
      </c>
      <c r="B402" s="2" t="n">
        <v>5</v>
      </c>
      <c r="C402" s="2" t="s">
        <v>172</v>
      </c>
      <c r="D402" s="2" t="n">
        <v>1</v>
      </c>
      <c r="E402" s="2" t="s">
        <v>173</v>
      </c>
      <c r="F402" s="2" t="s">
        <v>22</v>
      </c>
      <c r="G402" s="2" t="s">
        <v>225</v>
      </c>
      <c r="H402" s="3" t="s">
        <v>666</v>
      </c>
      <c r="I402" s="2" t="s">
        <v>308</v>
      </c>
      <c r="J402" s="2" t="s">
        <v>309</v>
      </c>
      <c r="K402" s="3" t="s">
        <v>715</v>
      </c>
      <c r="L402" s="2" t="n">
        <f aca="false">MAX(1,ROUND(0.75*Inputs!$B$4*Inputs!$B$5^(B402-1)*INDEX(Inputs!$C$15:$C$23,MATCH("decoding",Inputs!$A$15:$A$23,0))*Inputs!$B$7*Inputs!$B$6^(D402-1)/Inputs!$B$12,0))</f>
        <v>608</v>
      </c>
      <c r="M402" s="2"/>
      <c r="N402" s="2"/>
      <c r="O402" s="2" t="s">
        <v>668</v>
      </c>
      <c r="P402" s="3"/>
      <c r="Q402" s="2" t="s">
        <v>669</v>
      </c>
      <c r="R402" s="2" t="n">
        <v>0.8438</v>
      </c>
      <c r="S402" s="2" t="s">
        <v>297</v>
      </c>
    </row>
    <row r="403" customFormat="false" ht="15" hidden="false" customHeight="false" outlineLevel="0" collapsed="false">
      <c r="A403" s="2" t="s">
        <v>665</v>
      </c>
      <c r="B403" s="2" t="n">
        <v>5</v>
      </c>
      <c r="C403" s="2" t="s">
        <v>172</v>
      </c>
      <c r="D403" s="2" t="n">
        <v>2</v>
      </c>
      <c r="E403" s="2" t="s">
        <v>177</v>
      </c>
      <c r="F403" s="2" t="s">
        <v>22</v>
      </c>
      <c r="G403" s="2" t="s">
        <v>225</v>
      </c>
      <c r="H403" s="3" t="s">
        <v>670</v>
      </c>
      <c r="I403" s="2" t="s">
        <v>308</v>
      </c>
      <c r="J403" s="2" t="s">
        <v>310</v>
      </c>
      <c r="K403" s="3" t="s">
        <v>715</v>
      </c>
      <c r="L403" s="2" t="n">
        <f aca="false">MAX(1,ROUND(0.75*Inputs!$B$4*Inputs!$B$5^(B403-1)*INDEX(Inputs!$C$15:$C$23,MATCH("decoding",Inputs!$A$15:$A$23,0))*Inputs!$B$7*Inputs!$B$6^(D403-1)/Inputs!$B$12,0))</f>
        <v>700</v>
      </c>
      <c r="M403" s="2"/>
      <c r="N403" s="2"/>
      <c r="O403" s="2" t="s">
        <v>668</v>
      </c>
      <c r="P403" s="3"/>
      <c r="Q403" s="2" t="s">
        <v>669</v>
      </c>
      <c r="R403" s="2" t="n">
        <v>0.8438</v>
      </c>
      <c r="S403" s="2" t="s">
        <v>309</v>
      </c>
    </row>
    <row r="404" customFormat="false" ht="15" hidden="false" customHeight="false" outlineLevel="0" collapsed="false">
      <c r="A404" s="2" t="s">
        <v>665</v>
      </c>
      <c r="B404" s="2" t="n">
        <v>5</v>
      </c>
      <c r="C404" s="2" t="s">
        <v>172</v>
      </c>
      <c r="D404" s="2" t="n">
        <v>3</v>
      </c>
      <c r="E404" s="2" t="s">
        <v>179</v>
      </c>
      <c r="F404" s="2" t="s">
        <v>22</v>
      </c>
      <c r="G404" s="2" t="s">
        <v>225</v>
      </c>
      <c r="H404" s="3" t="s">
        <v>670</v>
      </c>
      <c r="I404" s="2" t="s">
        <v>308</v>
      </c>
      <c r="J404" s="2" t="s">
        <v>311</v>
      </c>
      <c r="K404" s="3" t="s">
        <v>715</v>
      </c>
      <c r="L404" s="2" t="n">
        <f aca="false">MAX(1,ROUND(0.75*Inputs!$B$4*Inputs!$B$5^(B404-1)*INDEX(Inputs!$C$15:$C$23,MATCH("decoding",Inputs!$A$15:$A$23,0))*Inputs!$B$7*Inputs!$B$6^(D404-1)/Inputs!$B$12,0))</f>
        <v>805</v>
      </c>
      <c r="M404" s="2"/>
      <c r="N404" s="2"/>
      <c r="O404" s="2" t="s">
        <v>668</v>
      </c>
      <c r="P404" s="3"/>
      <c r="Q404" s="2" t="s">
        <v>669</v>
      </c>
      <c r="R404" s="2" t="n">
        <v>0.8438</v>
      </c>
      <c r="S404" s="2" t="s">
        <v>310</v>
      </c>
    </row>
    <row r="405" customFormat="false" ht="57.45" hidden="false" customHeight="false" outlineLevel="0" collapsed="false">
      <c r="A405" s="2" t="s">
        <v>665</v>
      </c>
      <c r="B405" s="2" t="n">
        <v>5</v>
      </c>
      <c r="C405" s="2" t="s">
        <v>172</v>
      </c>
      <c r="D405" s="2" t="n">
        <v>4</v>
      </c>
      <c r="E405" s="2" t="s">
        <v>181</v>
      </c>
      <c r="F405" s="2" t="s">
        <v>22</v>
      </c>
      <c r="G405" s="2" t="s">
        <v>234</v>
      </c>
      <c r="H405" s="3" t="s">
        <v>671</v>
      </c>
      <c r="I405" s="2" t="s">
        <v>592</v>
      </c>
      <c r="J405" s="2" t="s">
        <v>648</v>
      </c>
      <c r="K405" s="3" t="s">
        <v>715</v>
      </c>
      <c r="L405" s="2" t="n">
        <f aca="false">MAX(1,ROUND(0.75*Inputs!$B$4*Inputs!$B$5^(B405-1)*INDEX(Inputs!$C$15:$C$23,MATCH("decoding",Inputs!$A$15:$A$23,0))*Inputs!$B$7*Inputs!$B$6^(D405-1)/Inputs!$B$12,0))</f>
        <v>925</v>
      </c>
      <c r="M405" s="2"/>
      <c r="N405" s="2"/>
      <c r="O405" s="2" t="s">
        <v>668</v>
      </c>
      <c r="P405" s="3"/>
      <c r="Q405" s="2" t="s">
        <v>672</v>
      </c>
      <c r="R405" s="2" t="n">
        <v>0.016667</v>
      </c>
      <c r="S405" s="2" t="s">
        <v>640</v>
      </c>
    </row>
    <row r="406" customFormat="false" ht="23.85" hidden="false" customHeight="false" outlineLevel="0" collapsed="false">
      <c r="A406" s="2" t="s">
        <v>665</v>
      </c>
      <c r="B406" s="2" t="n">
        <v>5</v>
      </c>
      <c r="C406" s="2" t="s">
        <v>172</v>
      </c>
      <c r="D406" s="2" t="n">
        <v>5</v>
      </c>
      <c r="E406" s="2" t="s">
        <v>183</v>
      </c>
      <c r="F406" s="2" t="s">
        <v>22</v>
      </c>
      <c r="G406" s="2" t="s">
        <v>234</v>
      </c>
      <c r="H406" s="3" t="s">
        <v>596</v>
      </c>
      <c r="I406" s="2" t="s">
        <v>592</v>
      </c>
      <c r="J406" s="2" t="s">
        <v>649</v>
      </c>
      <c r="K406" s="3" t="s">
        <v>715</v>
      </c>
      <c r="L406" s="2" t="n">
        <f aca="false">MAX(1,ROUND(0.75*Inputs!$B$4*Inputs!$B$5^(B406-1)*INDEX(Inputs!$C$15:$C$23,MATCH("decoding",Inputs!$A$15:$A$23,0))*Inputs!$B$7*Inputs!$B$6^(D406-1)/Inputs!$B$12,0))</f>
        <v>1064</v>
      </c>
      <c r="M406" s="2"/>
      <c r="N406" s="2"/>
      <c r="O406" s="2" t="s">
        <v>668</v>
      </c>
      <c r="P406" s="3"/>
      <c r="Q406" s="2" t="s">
        <v>672</v>
      </c>
      <c r="R406" s="2" t="n">
        <v>0.016667</v>
      </c>
      <c r="S406" s="2" t="s">
        <v>648</v>
      </c>
    </row>
    <row r="407" customFormat="false" ht="15" hidden="false" customHeight="false" outlineLevel="0" collapsed="false">
      <c r="A407" s="2" t="s">
        <v>665</v>
      </c>
      <c r="B407" s="2" t="n">
        <v>5</v>
      </c>
      <c r="C407" s="2" t="s">
        <v>172</v>
      </c>
      <c r="D407" s="2" t="n">
        <v>6</v>
      </c>
      <c r="E407" s="2" t="s">
        <v>185</v>
      </c>
      <c r="F407" s="2" t="s">
        <v>22</v>
      </c>
      <c r="G407" s="2" t="s">
        <v>673</v>
      </c>
      <c r="H407" s="3" t="s">
        <v>674</v>
      </c>
      <c r="I407" s="2" t="s">
        <v>363</v>
      </c>
      <c r="J407" s="2" t="s">
        <v>716</v>
      </c>
      <c r="K407" s="3" t="s">
        <v>715</v>
      </c>
      <c r="L407" s="2" t="n">
        <f aca="false">MAX(1,ROUND(0.75*Inputs!$B$4*Inputs!$B$5^(B407-1)*INDEX(Inputs!$C$15:$C$23,MATCH("decoding",Inputs!$A$15:$A$23,0))*Inputs!$B$7*Inputs!$B$6^(D407-1)/Inputs!$B$12,0))</f>
        <v>1224</v>
      </c>
      <c r="M407" s="2"/>
      <c r="N407" s="2"/>
      <c r="O407" s="2" t="s">
        <v>668</v>
      </c>
      <c r="P407" s="3"/>
      <c r="Q407" s="2" t="s">
        <v>676</v>
      </c>
      <c r="R407" s="2" t="n">
        <v>0.1</v>
      </c>
      <c r="S407" s="2" t="s">
        <v>709</v>
      </c>
    </row>
    <row r="408" customFormat="false" ht="35.05" hidden="false" customHeight="false" outlineLevel="0" collapsed="false">
      <c r="A408" s="4" t="s">
        <v>665</v>
      </c>
      <c r="B408" s="4" t="n">
        <v>5</v>
      </c>
      <c r="C408" s="4" t="s">
        <v>172</v>
      </c>
      <c r="D408" s="4" t="n">
        <v>7</v>
      </c>
      <c r="E408" s="4" t="s">
        <v>187</v>
      </c>
      <c r="F408" s="4" t="s">
        <v>72</v>
      </c>
      <c r="G408" s="4" t="s">
        <v>678</v>
      </c>
      <c r="H408" s="5" t="s">
        <v>679</v>
      </c>
      <c r="I408" s="4" t="s">
        <v>680</v>
      </c>
      <c r="J408" s="4" t="s">
        <v>717</v>
      </c>
      <c r="K408" s="5" t="s">
        <v>715</v>
      </c>
      <c r="L408" s="4" t="n">
        <f aca="false">MAX(1,ROUND(0.75*Inputs!$B$4*Inputs!$B$5^(B408-1)*INDEX(Inputs!$C$15:$C$23,MATCH("decoding",Inputs!$A$15:$A$23,0))*Inputs!$B$7*Inputs!$B$6^(D408-1)/Inputs!$B$12,0))</f>
        <v>1407</v>
      </c>
      <c r="M408" s="4"/>
      <c r="N408" s="4"/>
      <c r="O408" s="4" t="s">
        <v>668</v>
      </c>
      <c r="P408" s="5"/>
      <c r="Q408" s="4" t="s">
        <v>682</v>
      </c>
      <c r="R408" s="4" t="n">
        <v>0.0025</v>
      </c>
      <c r="S408" s="4" t="s">
        <v>710</v>
      </c>
    </row>
    <row r="409" customFormat="false" ht="23.85" hidden="false" customHeight="false" outlineLevel="0" collapsed="false">
      <c r="A409" s="4" t="s">
        <v>665</v>
      </c>
      <c r="B409" s="4" t="n">
        <v>5</v>
      </c>
      <c r="C409" s="4" t="s">
        <v>172</v>
      </c>
      <c r="D409" s="4" t="n">
        <v>8</v>
      </c>
      <c r="E409" s="4" t="s">
        <v>189</v>
      </c>
      <c r="F409" s="4" t="s">
        <v>72</v>
      </c>
      <c r="G409" s="4" t="s">
        <v>684</v>
      </c>
      <c r="H409" s="5" t="s">
        <v>685</v>
      </c>
      <c r="I409" s="4" t="s">
        <v>363</v>
      </c>
      <c r="J409" s="4" t="s">
        <v>716</v>
      </c>
      <c r="K409" s="5" t="s">
        <v>715</v>
      </c>
      <c r="L409" s="4" t="n">
        <f aca="false">MAX(1,ROUND(0.75*Inputs!$B$4*Inputs!$B$5^(B409-1)*INDEX(Inputs!$C$15:$C$23,MATCH("decoding",Inputs!$A$15:$A$23,0))*Inputs!$B$7*Inputs!$B$6^(D409-1)/Inputs!$B$12,0))</f>
        <v>1618</v>
      </c>
      <c r="M409" s="4"/>
      <c r="N409" s="4"/>
      <c r="O409" s="4" t="s">
        <v>668</v>
      </c>
      <c r="P409" s="5"/>
      <c r="Q409" s="4" t="s">
        <v>686</v>
      </c>
      <c r="R409" s="4" t="n">
        <v>0.1</v>
      </c>
      <c r="S409" s="4" t="s">
        <v>709</v>
      </c>
    </row>
    <row r="410" customFormat="false" ht="23.85" hidden="false" customHeight="false" outlineLevel="0" collapsed="false">
      <c r="A410" s="4" t="s">
        <v>665</v>
      </c>
      <c r="B410" s="4" t="n">
        <v>5</v>
      </c>
      <c r="C410" s="4" t="s">
        <v>172</v>
      </c>
      <c r="D410" s="4" t="n">
        <v>9</v>
      </c>
      <c r="E410" s="4" t="s">
        <v>191</v>
      </c>
      <c r="F410" s="4" t="s">
        <v>72</v>
      </c>
      <c r="G410" s="4" t="s">
        <v>687</v>
      </c>
      <c r="H410" s="5" t="s">
        <v>688</v>
      </c>
      <c r="I410" s="4" t="s">
        <v>689</v>
      </c>
      <c r="J410" s="4" t="s">
        <v>718</v>
      </c>
      <c r="K410" s="5" t="s">
        <v>715</v>
      </c>
      <c r="L410" s="4" t="n">
        <f aca="false">MAX(1,ROUND(0.75*Inputs!$B$4*Inputs!$B$5^(B410-1)*INDEX(Inputs!$C$15:$C$23,MATCH("decoding",Inputs!$A$15:$A$23,0))*Inputs!$B$7*Inputs!$B$6^(D410-1)/Inputs!$B$12,0))</f>
        <v>1861</v>
      </c>
      <c r="M410" s="4"/>
      <c r="N410" s="4"/>
      <c r="O410" s="4" t="s">
        <v>668</v>
      </c>
      <c r="P410" s="5"/>
      <c r="Q410" s="4" t="s">
        <v>691</v>
      </c>
      <c r="R410" s="4" t="n">
        <v>1</v>
      </c>
      <c r="S410" s="4" t="s">
        <v>711</v>
      </c>
    </row>
    <row r="411" customFormat="false" ht="23.85" hidden="false" customHeight="false" outlineLevel="0" collapsed="false">
      <c r="A411" s="6" t="s">
        <v>665</v>
      </c>
      <c r="B411" s="6" t="n">
        <v>5</v>
      </c>
      <c r="C411" s="6" t="s">
        <v>172</v>
      </c>
      <c r="D411" s="6" t="n">
        <v>10</v>
      </c>
      <c r="E411" s="6" t="s">
        <v>193</v>
      </c>
      <c r="F411" s="6" t="s">
        <v>87</v>
      </c>
      <c r="G411" s="6" t="s">
        <v>318</v>
      </c>
      <c r="H411" s="7" t="s">
        <v>719</v>
      </c>
      <c r="I411" s="6" t="s">
        <v>90</v>
      </c>
      <c r="J411" s="6"/>
      <c r="K411" s="7" t="s">
        <v>715</v>
      </c>
      <c r="L411" s="6" t="n">
        <f aca="false">MAX(1,ROUND(0.75*Inputs!$B$4*Inputs!$B$5^(B411-1)*INDEX(Inputs!$C$15:$C$23,MATCH("decoding",Inputs!$A$15:$A$23,0))*Inputs!$B$7*Inputs!$B$6^(D411-1)/Inputs!$B$12,0))</f>
        <v>2140</v>
      </c>
      <c r="M411" s="6" t="s">
        <v>320</v>
      </c>
      <c r="N411" s="6" t="n">
        <v>2</v>
      </c>
      <c r="O411" s="6" t="s">
        <v>668</v>
      </c>
      <c r="P411" s="7"/>
      <c r="Q411" s="6" t="s">
        <v>720</v>
      </c>
      <c r="R411" s="8" t="b">
        <f aca="false">TRUE()</f>
        <v>1</v>
      </c>
      <c r="S411" s="6" t="s">
        <v>93</v>
      </c>
    </row>
    <row r="412" customFormat="false" ht="23.85" hidden="false" customHeight="false" outlineLevel="0" collapsed="false">
      <c r="A412" s="2" t="s">
        <v>665</v>
      </c>
      <c r="B412" s="2" t="n">
        <v>6</v>
      </c>
      <c r="C412" s="2" t="s">
        <v>198</v>
      </c>
      <c r="D412" s="2" t="n">
        <v>1</v>
      </c>
      <c r="E412" s="2" t="s">
        <v>199</v>
      </c>
      <c r="F412" s="2" t="s">
        <v>22</v>
      </c>
      <c r="G412" s="2" t="s">
        <v>225</v>
      </c>
      <c r="H412" s="3" t="s">
        <v>666</v>
      </c>
      <c r="I412" s="2" t="s">
        <v>322</v>
      </c>
      <c r="J412" s="2" t="s">
        <v>323</v>
      </c>
      <c r="K412" s="3" t="s">
        <v>721</v>
      </c>
      <c r="L412" s="2" t="n">
        <f aca="false">MAX(1,ROUND(1*Inputs!$B$4*Inputs!$B$5^(B412-1)*INDEX(Inputs!$C$15:$C$23,MATCH("decoding",Inputs!$A$15:$A$23,0))*Inputs!$B$7*Inputs!$B$6^(D412-1)/Inputs!$B$12,0))</f>
        <v>892</v>
      </c>
      <c r="M412" s="2"/>
      <c r="N412" s="2"/>
      <c r="O412" s="2" t="s">
        <v>668</v>
      </c>
      <c r="P412" s="3"/>
      <c r="Q412" s="2" t="s">
        <v>669</v>
      </c>
      <c r="R412" s="2" t="n">
        <v>1.2656</v>
      </c>
      <c r="S412" s="2" t="s">
        <v>311</v>
      </c>
    </row>
    <row r="413" customFormat="false" ht="15" hidden="false" customHeight="false" outlineLevel="0" collapsed="false">
      <c r="A413" s="2" t="s">
        <v>665</v>
      </c>
      <c r="B413" s="2" t="n">
        <v>6</v>
      </c>
      <c r="C413" s="2" t="s">
        <v>198</v>
      </c>
      <c r="D413" s="2" t="n">
        <v>2</v>
      </c>
      <c r="E413" s="2" t="s">
        <v>203</v>
      </c>
      <c r="F413" s="2" t="s">
        <v>22</v>
      </c>
      <c r="G413" s="2" t="s">
        <v>225</v>
      </c>
      <c r="H413" s="3" t="s">
        <v>670</v>
      </c>
      <c r="I413" s="2" t="s">
        <v>322</v>
      </c>
      <c r="J413" s="2" t="s">
        <v>324</v>
      </c>
      <c r="K413" s="3" t="s">
        <v>721</v>
      </c>
      <c r="L413" s="2" t="n">
        <f aca="false">MAX(1,ROUND(1*Inputs!$B$4*Inputs!$B$5^(B413-1)*INDEX(Inputs!$C$15:$C$23,MATCH("decoding",Inputs!$A$15:$A$23,0))*Inputs!$B$7*Inputs!$B$6^(D413-1)/Inputs!$B$12,0))</f>
        <v>1026</v>
      </c>
      <c r="M413" s="2"/>
      <c r="N413" s="2"/>
      <c r="O413" s="2" t="s">
        <v>668</v>
      </c>
      <c r="P413" s="3"/>
      <c r="Q413" s="2" t="s">
        <v>669</v>
      </c>
      <c r="R413" s="2" t="n">
        <v>1.2656</v>
      </c>
      <c r="S413" s="2" t="s">
        <v>323</v>
      </c>
    </row>
    <row r="414" customFormat="false" ht="15" hidden="false" customHeight="false" outlineLevel="0" collapsed="false">
      <c r="A414" s="2" t="s">
        <v>665</v>
      </c>
      <c r="B414" s="2" t="n">
        <v>6</v>
      </c>
      <c r="C414" s="2" t="s">
        <v>198</v>
      </c>
      <c r="D414" s="2" t="n">
        <v>3</v>
      </c>
      <c r="E414" s="2" t="s">
        <v>205</v>
      </c>
      <c r="F414" s="2" t="s">
        <v>22</v>
      </c>
      <c r="G414" s="2" t="s">
        <v>225</v>
      </c>
      <c r="H414" s="3" t="s">
        <v>670</v>
      </c>
      <c r="I414" s="2" t="s">
        <v>322</v>
      </c>
      <c r="J414" s="2" t="s">
        <v>325</v>
      </c>
      <c r="K414" s="3" t="s">
        <v>721</v>
      </c>
      <c r="L414" s="2" t="n">
        <f aca="false">MAX(1,ROUND(1*Inputs!$B$4*Inputs!$B$5^(B414-1)*INDEX(Inputs!$C$15:$C$23,MATCH("decoding",Inputs!$A$15:$A$23,0))*Inputs!$B$7*Inputs!$B$6^(D414-1)/Inputs!$B$12,0))</f>
        <v>1180</v>
      </c>
      <c r="M414" s="2"/>
      <c r="N414" s="2"/>
      <c r="O414" s="2" t="s">
        <v>668</v>
      </c>
      <c r="P414" s="3"/>
      <c r="Q414" s="2" t="s">
        <v>669</v>
      </c>
      <c r="R414" s="2" t="n">
        <v>1.2656</v>
      </c>
      <c r="S414" s="2" t="s">
        <v>324</v>
      </c>
    </row>
    <row r="415" customFormat="false" ht="57.45" hidden="false" customHeight="false" outlineLevel="0" collapsed="false">
      <c r="A415" s="2" t="s">
        <v>665</v>
      </c>
      <c r="B415" s="2" t="n">
        <v>6</v>
      </c>
      <c r="C415" s="2" t="s">
        <v>198</v>
      </c>
      <c r="D415" s="2" t="n">
        <v>4</v>
      </c>
      <c r="E415" s="2" t="s">
        <v>207</v>
      </c>
      <c r="F415" s="2" t="s">
        <v>22</v>
      </c>
      <c r="G415" s="2" t="s">
        <v>234</v>
      </c>
      <c r="H415" s="3" t="s">
        <v>671</v>
      </c>
      <c r="I415" s="2" t="s">
        <v>592</v>
      </c>
      <c r="J415" s="2" t="s">
        <v>656</v>
      </c>
      <c r="K415" s="3" t="s">
        <v>721</v>
      </c>
      <c r="L415" s="2" t="n">
        <f aca="false">MAX(1,ROUND(1*Inputs!$B$4*Inputs!$B$5^(B415-1)*INDEX(Inputs!$C$15:$C$23,MATCH("decoding",Inputs!$A$15:$A$23,0))*Inputs!$B$7*Inputs!$B$6^(D415-1)/Inputs!$B$12,0))</f>
        <v>1357</v>
      </c>
      <c r="M415" s="2"/>
      <c r="N415" s="2"/>
      <c r="O415" s="2" t="s">
        <v>668</v>
      </c>
      <c r="P415" s="3"/>
      <c r="Q415" s="2" t="s">
        <v>672</v>
      </c>
      <c r="R415" s="2" t="n">
        <v>0.016667</v>
      </c>
      <c r="S415" s="2" t="s">
        <v>649</v>
      </c>
    </row>
    <row r="416" customFormat="false" ht="23.85" hidden="false" customHeight="false" outlineLevel="0" collapsed="false">
      <c r="A416" s="2" t="s">
        <v>665</v>
      </c>
      <c r="B416" s="2" t="n">
        <v>6</v>
      </c>
      <c r="C416" s="2" t="s">
        <v>198</v>
      </c>
      <c r="D416" s="2" t="n">
        <v>5</v>
      </c>
      <c r="E416" s="2" t="s">
        <v>209</v>
      </c>
      <c r="F416" s="2" t="s">
        <v>22</v>
      </c>
      <c r="G416" s="2" t="s">
        <v>234</v>
      </c>
      <c r="H416" s="3" t="s">
        <v>596</v>
      </c>
      <c r="I416" s="2" t="s">
        <v>592</v>
      </c>
      <c r="J416" s="2" t="s">
        <v>657</v>
      </c>
      <c r="K416" s="3" t="s">
        <v>721</v>
      </c>
      <c r="L416" s="2" t="n">
        <f aca="false">MAX(1,ROUND(1*Inputs!$B$4*Inputs!$B$5^(B416-1)*INDEX(Inputs!$C$15:$C$23,MATCH("decoding",Inputs!$A$15:$A$23,0))*Inputs!$B$7*Inputs!$B$6^(D416-1)/Inputs!$B$12,0))</f>
        <v>1561</v>
      </c>
      <c r="M416" s="2"/>
      <c r="N416" s="2"/>
      <c r="O416" s="2" t="s">
        <v>668</v>
      </c>
      <c r="P416" s="3"/>
      <c r="Q416" s="2" t="s">
        <v>672</v>
      </c>
      <c r="R416" s="2" t="n">
        <v>0.016667</v>
      </c>
      <c r="S416" s="2" t="s">
        <v>656</v>
      </c>
    </row>
    <row r="417" customFormat="false" ht="15" hidden="false" customHeight="false" outlineLevel="0" collapsed="false">
      <c r="A417" s="2" t="s">
        <v>665</v>
      </c>
      <c r="B417" s="2" t="n">
        <v>6</v>
      </c>
      <c r="C417" s="2" t="s">
        <v>198</v>
      </c>
      <c r="D417" s="2" t="n">
        <v>6</v>
      </c>
      <c r="E417" s="2" t="s">
        <v>211</v>
      </c>
      <c r="F417" s="2" t="s">
        <v>22</v>
      </c>
      <c r="G417" s="2" t="s">
        <v>673</v>
      </c>
      <c r="H417" s="3" t="s">
        <v>674</v>
      </c>
      <c r="I417" s="2" t="s">
        <v>363</v>
      </c>
      <c r="J417" s="2" t="s">
        <v>722</v>
      </c>
      <c r="K417" s="3" t="s">
        <v>721</v>
      </c>
      <c r="L417" s="2" t="n">
        <f aca="false">MAX(1,ROUND(1*Inputs!$B$4*Inputs!$B$5^(B417-1)*INDEX(Inputs!$C$15:$C$23,MATCH("decoding",Inputs!$A$15:$A$23,0))*Inputs!$B$7*Inputs!$B$6^(D417-1)/Inputs!$B$12,0))</f>
        <v>1795</v>
      </c>
      <c r="M417" s="2"/>
      <c r="N417" s="2"/>
      <c r="O417" s="2" t="s">
        <v>668</v>
      </c>
      <c r="P417" s="3"/>
      <c r="Q417" s="2" t="s">
        <v>676</v>
      </c>
      <c r="R417" s="2" t="n">
        <v>0.1</v>
      </c>
      <c r="S417" s="2" t="s">
        <v>716</v>
      </c>
    </row>
    <row r="418" customFormat="false" ht="35.05" hidden="false" customHeight="false" outlineLevel="0" collapsed="false">
      <c r="A418" s="4" t="s">
        <v>665</v>
      </c>
      <c r="B418" s="4" t="n">
        <v>6</v>
      </c>
      <c r="C418" s="4" t="s">
        <v>198</v>
      </c>
      <c r="D418" s="4" t="n">
        <v>7</v>
      </c>
      <c r="E418" s="4" t="s">
        <v>213</v>
      </c>
      <c r="F418" s="4" t="s">
        <v>72</v>
      </c>
      <c r="G418" s="4" t="s">
        <v>678</v>
      </c>
      <c r="H418" s="5" t="s">
        <v>679</v>
      </c>
      <c r="I418" s="4" t="s">
        <v>680</v>
      </c>
      <c r="J418" s="4" t="s">
        <v>723</v>
      </c>
      <c r="K418" s="5" t="s">
        <v>721</v>
      </c>
      <c r="L418" s="4" t="n">
        <f aca="false">MAX(1,ROUND(1*Inputs!$B$4*Inputs!$B$5^(B418-1)*INDEX(Inputs!$C$15:$C$23,MATCH("decoding",Inputs!$A$15:$A$23,0))*Inputs!$B$7*Inputs!$B$6^(D418-1)/Inputs!$B$12,0))</f>
        <v>2064</v>
      </c>
      <c r="M418" s="4"/>
      <c r="N418" s="4"/>
      <c r="O418" s="4" t="s">
        <v>668</v>
      </c>
      <c r="P418" s="5"/>
      <c r="Q418" s="4" t="s">
        <v>682</v>
      </c>
      <c r="R418" s="4" t="n">
        <v>0.0025</v>
      </c>
      <c r="S418" s="4" t="s">
        <v>717</v>
      </c>
    </row>
    <row r="419" customFormat="false" ht="23.85" hidden="false" customHeight="false" outlineLevel="0" collapsed="false">
      <c r="A419" s="4" t="s">
        <v>665</v>
      </c>
      <c r="B419" s="4" t="n">
        <v>6</v>
      </c>
      <c r="C419" s="4" t="s">
        <v>198</v>
      </c>
      <c r="D419" s="4" t="n">
        <v>8</v>
      </c>
      <c r="E419" s="4" t="s">
        <v>215</v>
      </c>
      <c r="F419" s="4" t="s">
        <v>72</v>
      </c>
      <c r="G419" s="4" t="s">
        <v>684</v>
      </c>
      <c r="H419" s="5" t="s">
        <v>685</v>
      </c>
      <c r="I419" s="4" t="s">
        <v>363</v>
      </c>
      <c r="J419" s="4" t="s">
        <v>722</v>
      </c>
      <c r="K419" s="5" t="s">
        <v>721</v>
      </c>
      <c r="L419" s="4" t="n">
        <f aca="false">MAX(1,ROUND(1*Inputs!$B$4*Inputs!$B$5^(B419-1)*INDEX(Inputs!$C$15:$C$23,MATCH("decoding",Inputs!$A$15:$A$23,0))*Inputs!$B$7*Inputs!$B$6^(D419-1)/Inputs!$B$12,0))</f>
        <v>2374</v>
      </c>
      <c r="M419" s="4"/>
      <c r="N419" s="4"/>
      <c r="O419" s="4" t="s">
        <v>668</v>
      </c>
      <c r="P419" s="5"/>
      <c r="Q419" s="4" t="s">
        <v>686</v>
      </c>
      <c r="R419" s="4" t="n">
        <v>0.1</v>
      </c>
      <c r="S419" s="4" t="s">
        <v>716</v>
      </c>
    </row>
    <row r="420" customFormat="false" ht="23.85" hidden="false" customHeight="false" outlineLevel="0" collapsed="false">
      <c r="A420" s="4" t="s">
        <v>665</v>
      </c>
      <c r="B420" s="4" t="n">
        <v>6</v>
      </c>
      <c r="C420" s="4" t="s">
        <v>198</v>
      </c>
      <c r="D420" s="4" t="n">
        <v>9</v>
      </c>
      <c r="E420" s="4" t="s">
        <v>217</v>
      </c>
      <c r="F420" s="4" t="s">
        <v>72</v>
      </c>
      <c r="G420" s="4" t="s">
        <v>687</v>
      </c>
      <c r="H420" s="5" t="s">
        <v>688</v>
      </c>
      <c r="I420" s="4" t="s">
        <v>689</v>
      </c>
      <c r="J420" s="4" t="s">
        <v>724</v>
      </c>
      <c r="K420" s="5" t="s">
        <v>721</v>
      </c>
      <c r="L420" s="4" t="n">
        <f aca="false">MAX(1,ROUND(1*Inputs!$B$4*Inputs!$B$5^(B420-1)*INDEX(Inputs!$C$15:$C$23,MATCH("decoding",Inputs!$A$15:$A$23,0))*Inputs!$B$7*Inputs!$B$6^(D420-1)/Inputs!$B$12,0))</f>
        <v>2730</v>
      </c>
      <c r="M420" s="4"/>
      <c r="N420" s="4"/>
      <c r="O420" s="4" t="s">
        <v>668</v>
      </c>
      <c r="P420" s="5"/>
      <c r="Q420" s="4" t="s">
        <v>691</v>
      </c>
      <c r="R420" s="4" t="n">
        <v>1</v>
      </c>
      <c r="S420" s="4" t="s">
        <v>718</v>
      </c>
    </row>
    <row r="421" customFormat="false" ht="23.85" hidden="false" customHeight="false" outlineLevel="0" collapsed="false">
      <c r="A421" s="6" t="s">
        <v>665</v>
      </c>
      <c r="B421" s="6" t="n">
        <v>6</v>
      </c>
      <c r="C421" s="6" t="s">
        <v>198</v>
      </c>
      <c r="D421" s="6" t="n">
        <v>10</v>
      </c>
      <c r="E421" s="6" t="s">
        <v>219</v>
      </c>
      <c r="F421" s="6" t="s">
        <v>87</v>
      </c>
      <c r="G421" s="6" t="s">
        <v>725</v>
      </c>
      <c r="H421" s="7" t="s">
        <v>726</v>
      </c>
      <c r="I421" s="6" t="s">
        <v>90</v>
      </c>
      <c r="J421" s="6"/>
      <c r="K421" s="7" t="s">
        <v>721</v>
      </c>
      <c r="L421" s="6" t="n">
        <f aca="false">MAX(1,ROUND(1*Inputs!$B$4*Inputs!$B$5^(B421-1)*INDEX(Inputs!$C$15:$C$23,MATCH("decoding",Inputs!$A$15:$A$23,0))*Inputs!$B$7*Inputs!$B$6^(D421-1)/Inputs!$B$12,0))</f>
        <v>3139</v>
      </c>
      <c r="M421" s="6" t="s">
        <v>334</v>
      </c>
      <c r="N421" s="6" t="n">
        <v>2</v>
      </c>
      <c r="O421" s="6" t="s">
        <v>668</v>
      </c>
      <c r="P421" s="7"/>
      <c r="Q421" s="6" t="s">
        <v>727</v>
      </c>
      <c r="R421" s="8" t="b">
        <f aca="false">TRUE()</f>
        <v>1</v>
      </c>
      <c r="S421" s="6" t="s">
        <v>93</v>
      </c>
    </row>
    <row r="422" customFormat="false" ht="23.85" hidden="false" customHeight="false" outlineLevel="0" collapsed="false">
      <c r="A422" s="2" t="s">
        <v>728</v>
      </c>
      <c r="B422" s="2" t="n">
        <v>1</v>
      </c>
      <c r="C422" s="2" t="s">
        <v>20</v>
      </c>
      <c r="D422" s="2" t="n">
        <v>1</v>
      </c>
      <c r="E422" s="2" t="s">
        <v>21</v>
      </c>
      <c r="F422" s="2" t="s">
        <v>22</v>
      </c>
      <c r="G422" s="2" t="s">
        <v>225</v>
      </c>
      <c r="H422" s="3" t="s">
        <v>729</v>
      </c>
      <c r="I422" s="2" t="s">
        <v>227</v>
      </c>
      <c r="J422" s="2" t="s">
        <v>228</v>
      </c>
      <c r="K422" s="3" t="s">
        <v>730</v>
      </c>
      <c r="L422" s="2" t="n">
        <f aca="false">MAX(1,ROUND(0.3*Inputs!$B$4*Inputs!$B$5^(B422-1)*INDEX(Inputs!$C$15:$C$23,MATCH("compiling",Inputs!$A$15:$A$23,0))*Inputs!$B$7*Inputs!$B$6^(D422-1)/Inputs!$B$12,0))</f>
        <v>16</v>
      </c>
      <c r="M422" s="2"/>
      <c r="N422" s="2"/>
      <c r="O422" s="2" t="s">
        <v>731</v>
      </c>
      <c r="P422" s="3"/>
      <c r="Q422" s="2" t="s">
        <v>732</v>
      </c>
      <c r="R422" s="2" t="n">
        <v>0.1667</v>
      </c>
      <c r="S422" s="2" t="s">
        <v>230</v>
      </c>
    </row>
    <row r="423" customFormat="false" ht="15" hidden="false" customHeight="false" outlineLevel="0" collapsed="false">
      <c r="A423" s="2" t="s">
        <v>728</v>
      </c>
      <c r="B423" s="2" t="n">
        <v>1</v>
      </c>
      <c r="C423" s="2" t="s">
        <v>20</v>
      </c>
      <c r="D423" s="2" t="n">
        <v>2</v>
      </c>
      <c r="E423" s="2" t="s">
        <v>31</v>
      </c>
      <c r="F423" s="2" t="s">
        <v>22</v>
      </c>
      <c r="G423" s="2" t="s">
        <v>225</v>
      </c>
      <c r="H423" s="3" t="s">
        <v>733</v>
      </c>
      <c r="I423" s="2" t="s">
        <v>227</v>
      </c>
      <c r="J423" s="2" t="s">
        <v>232</v>
      </c>
      <c r="K423" s="3" t="s">
        <v>730</v>
      </c>
      <c r="L423" s="2" t="n">
        <f aca="false">MAX(1,ROUND(0.3*Inputs!$B$4*Inputs!$B$5^(B423-1)*INDEX(Inputs!$C$15:$C$23,MATCH("compiling",Inputs!$A$15:$A$23,0))*Inputs!$B$7*Inputs!$B$6^(D423-1)/Inputs!$B$12,0))</f>
        <v>18</v>
      </c>
      <c r="M423" s="2"/>
      <c r="N423" s="2"/>
      <c r="O423" s="2" t="s">
        <v>731</v>
      </c>
      <c r="P423" s="3"/>
      <c r="Q423" s="2" t="s">
        <v>732</v>
      </c>
      <c r="R423" s="2" t="n">
        <v>0.1667</v>
      </c>
      <c r="S423" s="2" t="s">
        <v>228</v>
      </c>
    </row>
    <row r="424" customFormat="false" ht="15" hidden="false" customHeight="false" outlineLevel="0" collapsed="false">
      <c r="A424" s="2" t="s">
        <v>728</v>
      </c>
      <c r="B424" s="2" t="n">
        <v>1</v>
      </c>
      <c r="C424" s="2" t="s">
        <v>20</v>
      </c>
      <c r="D424" s="2" t="n">
        <v>3</v>
      </c>
      <c r="E424" s="2" t="s">
        <v>38</v>
      </c>
      <c r="F424" s="2" t="s">
        <v>22</v>
      </c>
      <c r="G424" s="2" t="s">
        <v>225</v>
      </c>
      <c r="H424" s="3" t="s">
        <v>733</v>
      </c>
      <c r="I424" s="2" t="s">
        <v>227</v>
      </c>
      <c r="J424" s="2" t="s">
        <v>233</v>
      </c>
      <c r="K424" s="3" t="s">
        <v>730</v>
      </c>
      <c r="L424" s="2" t="n">
        <f aca="false">MAX(1,ROUND(0.3*Inputs!$B$4*Inputs!$B$5^(B424-1)*INDEX(Inputs!$C$15:$C$23,MATCH("compiling",Inputs!$A$15:$A$23,0))*Inputs!$B$7*Inputs!$B$6^(D424-1)/Inputs!$B$12,0))</f>
        <v>21</v>
      </c>
      <c r="M424" s="2"/>
      <c r="N424" s="2"/>
      <c r="O424" s="2" t="s">
        <v>731</v>
      </c>
      <c r="P424" s="3"/>
      <c r="Q424" s="2" t="s">
        <v>732</v>
      </c>
      <c r="R424" s="2" t="n">
        <v>0.1667</v>
      </c>
      <c r="S424" s="2" t="s">
        <v>232</v>
      </c>
    </row>
    <row r="425" customFormat="false" ht="35.05" hidden="false" customHeight="false" outlineLevel="0" collapsed="false">
      <c r="A425" s="2" t="s">
        <v>728</v>
      </c>
      <c r="B425" s="2" t="n">
        <v>1</v>
      </c>
      <c r="C425" s="2" t="s">
        <v>20</v>
      </c>
      <c r="D425" s="2" t="n">
        <v>4</v>
      </c>
      <c r="E425" s="2" t="s">
        <v>47</v>
      </c>
      <c r="F425" s="2" t="s">
        <v>22</v>
      </c>
      <c r="G425" s="2" t="s">
        <v>234</v>
      </c>
      <c r="H425" s="3" t="s">
        <v>734</v>
      </c>
      <c r="I425" s="2" t="s">
        <v>592</v>
      </c>
      <c r="J425" s="2" t="s">
        <v>593</v>
      </c>
      <c r="K425" s="3" t="s">
        <v>730</v>
      </c>
      <c r="L425" s="2" t="n">
        <f aca="false">MAX(1,ROUND(0.3*Inputs!$B$4*Inputs!$B$5^(B425-1)*INDEX(Inputs!$C$15:$C$23,MATCH("compiling",Inputs!$A$15:$A$23,0))*Inputs!$B$7*Inputs!$B$6^(D425-1)/Inputs!$B$12,0))</f>
        <v>24</v>
      </c>
      <c r="M425" s="2"/>
      <c r="N425" s="2"/>
      <c r="O425" s="2" t="s">
        <v>731</v>
      </c>
      <c r="P425" s="3"/>
      <c r="Q425" s="2" t="s">
        <v>735</v>
      </c>
      <c r="R425" s="2" t="n">
        <v>0.016667</v>
      </c>
      <c r="S425" s="2" t="s">
        <v>595</v>
      </c>
    </row>
    <row r="426" customFormat="false" ht="15" hidden="false" customHeight="false" outlineLevel="0" collapsed="false">
      <c r="A426" s="2" t="s">
        <v>728</v>
      </c>
      <c r="B426" s="2" t="n">
        <v>1</v>
      </c>
      <c r="C426" s="2" t="s">
        <v>20</v>
      </c>
      <c r="D426" s="2" t="n">
        <v>5</v>
      </c>
      <c r="E426" s="2" t="s">
        <v>54</v>
      </c>
      <c r="F426" s="2" t="s">
        <v>22</v>
      </c>
      <c r="G426" s="2" t="s">
        <v>234</v>
      </c>
      <c r="H426" s="3" t="s">
        <v>736</v>
      </c>
      <c r="I426" s="2" t="s">
        <v>592</v>
      </c>
      <c r="J426" s="2" t="s">
        <v>597</v>
      </c>
      <c r="K426" s="3" t="s">
        <v>730</v>
      </c>
      <c r="L426" s="2" t="n">
        <f aca="false">MAX(1,ROUND(0.3*Inputs!$B$4*Inputs!$B$5^(B426-1)*INDEX(Inputs!$C$15:$C$23,MATCH("compiling",Inputs!$A$15:$A$23,0))*Inputs!$B$7*Inputs!$B$6^(D426-1)/Inputs!$B$12,0))</f>
        <v>27</v>
      </c>
      <c r="M426" s="2"/>
      <c r="N426" s="2"/>
      <c r="O426" s="2" t="s">
        <v>731</v>
      </c>
      <c r="P426" s="3"/>
      <c r="Q426" s="2" t="s">
        <v>735</v>
      </c>
      <c r="R426" s="2" t="n">
        <v>0.016667</v>
      </c>
      <c r="S426" s="2" t="s">
        <v>593</v>
      </c>
    </row>
    <row r="427" customFormat="false" ht="23.85" hidden="false" customHeight="false" outlineLevel="0" collapsed="false">
      <c r="A427" s="2" t="s">
        <v>728</v>
      </c>
      <c r="B427" s="2" t="n">
        <v>1</v>
      </c>
      <c r="C427" s="2" t="s">
        <v>20</v>
      </c>
      <c r="D427" s="2" t="n">
        <v>6</v>
      </c>
      <c r="E427" s="2" t="s">
        <v>57</v>
      </c>
      <c r="F427" s="2" t="s">
        <v>22</v>
      </c>
      <c r="G427" s="2" t="s">
        <v>436</v>
      </c>
      <c r="H427" s="3" t="s">
        <v>737</v>
      </c>
      <c r="I427" s="2" t="s">
        <v>343</v>
      </c>
      <c r="J427" s="2" t="s">
        <v>522</v>
      </c>
      <c r="K427" s="3" t="s">
        <v>730</v>
      </c>
      <c r="L427" s="2" t="n">
        <f aca="false">MAX(1,ROUND(0.3*Inputs!$B$4*Inputs!$B$5^(B427-1)*INDEX(Inputs!$C$15:$C$23,MATCH("compiling",Inputs!$A$15:$A$23,0))*Inputs!$B$7*Inputs!$B$6^(D427-1)/Inputs!$B$12,0))</f>
        <v>31</v>
      </c>
      <c r="M427" s="2"/>
      <c r="N427" s="2"/>
      <c r="O427" s="2" t="s">
        <v>731</v>
      </c>
      <c r="P427" s="3"/>
      <c r="Q427" s="2" t="s">
        <v>738</v>
      </c>
      <c r="R427" s="2" t="n">
        <v>0.016667</v>
      </c>
      <c r="S427" s="2" t="s">
        <v>524</v>
      </c>
    </row>
    <row r="428" customFormat="false" ht="15" hidden="false" customHeight="false" outlineLevel="0" collapsed="false">
      <c r="A428" s="2" t="s">
        <v>728</v>
      </c>
      <c r="B428" s="2" t="n">
        <v>1</v>
      </c>
      <c r="C428" s="2" t="s">
        <v>20</v>
      </c>
      <c r="D428" s="2" t="n">
        <v>7</v>
      </c>
      <c r="E428" s="2" t="s">
        <v>64</v>
      </c>
      <c r="F428" s="2" t="s">
        <v>22</v>
      </c>
      <c r="G428" s="2" t="s">
        <v>436</v>
      </c>
      <c r="H428" s="3" t="s">
        <v>525</v>
      </c>
      <c r="I428" s="2" t="s">
        <v>343</v>
      </c>
      <c r="J428" s="2" t="s">
        <v>526</v>
      </c>
      <c r="K428" s="3" t="s">
        <v>730</v>
      </c>
      <c r="L428" s="2" t="n">
        <f aca="false">MAX(1,ROUND(0.3*Inputs!$B$4*Inputs!$B$5^(B428-1)*INDEX(Inputs!$C$15:$C$23,MATCH("compiling",Inputs!$A$15:$A$23,0))*Inputs!$B$7*Inputs!$B$6^(D428-1)/Inputs!$B$12,0))</f>
        <v>36</v>
      </c>
      <c r="M428" s="2"/>
      <c r="N428" s="2"/>
      <c r="O428" s="2" t="s">
        <v>731</v>
      </c>
      <c r="P428" s="3"/>
      <c r="Q428" s="2" t="s">
        <v>738</v>
      </c>
      <c r="R428" s="2" t="n">
        <v>0.016667</v>
      </c>
      <c r="S428" s="2" t="s">
        <v>522</v>
      </c>
    </row>
    <row r="429" customFormat="false" ht="15" hidden="false" customHeight="false" outlineLevel="0" collapsed="false">
      <c r="A429" s="4" t="s">
        <v>728</v>
      </c>
      <c r="B429" s="4" t="n">
        <v>1</v>
      </c>
      <c r="C429" s="4" t="s">
        <v>20</v>
      </c>
      <c r="D429" s="4" t="n">
        <v>8</v>
      </c>
      <c r="E429" s="4" t="s">
        <v>71</v>
      </c>
      <c r="F429" s="4" t="s">
        <v>72</v>
      </c>
      <c r="G429" s="4" t="s">
        <v>739</v>
      </c>
      <c r="H429" s="5" t="s">
        <v>740</v>
      </c>
      <c r="I429" s="4" t="s">
        <v>741</v>
      </c>
      <c r="J429" s="4" t="s">
        <v>742</v>
      </c>
      <c r="K429" s="5" t="s">
        <v>730</v>
      </c>
      <c r="L429" s="4" t="n">
        <f aca="false">MAX(1,ROUND(0.3*Inputs!$B$4*Inputs!$B$5^(B429-1)*INDEX(Inputs!$C$15:$C$23,MATCH("compiling",Inputs!$A$15:$A$23,0))*Inputs!$B$7*Inputs!$B$6^(D429-1)/Inputs!$B$12,0))</f>
        <v>41</v>
      </c>
      <c r="M429" s="4"/>
      <c r="N429" s="4"/>
      <c r="O429" s="4" t="s">
        <v>731</v>
      </c>
      <c r="P429" s="5"/>
      <c r="Q429" s="4" t="s">
        <v>743</v>
      </c>
      <c r="R429" s="4" t="n">
        <v>0.025</v>
      </c>
      <c r="S429" s="4" t="s">
        <v>744</v>
      </c>
    </row>
    <row r="430" customFormat="false" ht="15" hidden="false" customHeight="false" outlineLevel="0" collapsed="false">
      <c r="A430" s="4" t="s">
        <v>728</v>
      </c>
      <c r="B430" s="4" t="n">
        <v>1</v>
      </c>
      <c r="C430" s="4" t="s">
        <v>20</v>
      </c>
      <c r="D430" s="4" t="n">
        <v>9</v>
      </c>
      <c r="E430" s="4" t="s">
        <v>79</v>
      </c>
      <c r="F430" s="4" t="s">
        <v>72</v>
      </c>
      <c r="G430" s="4" t="s">
        <v>745</v>
      </c>
      <c r="H430" s="5" t="s">
        <v>746</v>
      </c>
      <c r="I430" s="4" t="s">
        <v>605</v>
      </c>
      <c r="J430" s="4" t="s">
        <v>747</v>
      </c>
      <c r="K430" s="5" t="s">
        <v>730</v>
      </c>
      <c r="L430" s="4" t="n">
        <f aca="false">MAX(1,ROUND(0.3*Inputs!$B$4*Inputs!$B$5^(B430-1)*INDEX(Inputs!$C$15:$C$23,MATCH("compiling",Inputs!$A$15:$A$23,0))*Inputs!$B$7*Inputs!$B$6^(D430-1)/Inputs!$B$12,0))</f>
        <v>47</v>
      </c>
      <c r="M430" s="4"/>
      <c r="N430" s="4"/>
      <c r="O430" s="4" t="s">
        <v>731</v>
      </c>
      <c r="P430" s="5"/>
      <c r="Q430" s="4" t="s">
        <v>748</v>
      </c>
      <c r="R430" s="4" t="n">
        <v>0.05</v>
      </c>
      <c r="S430" s="4" t="s">
        <v>749</v>
      </c>
    </row>
    <row r="431" customFormat="false" ht="23.85" hidden="false" customHeight="false" outlineLevel="0" collapsed="false">
      <c r="A431" s="6" t="s">
        <v>728</v>
      </c>
      <c r="B431" s="6" t="n">
        <v>1</v>
      </c>
      <c r="C431" s="6" t="s">
        <v>20</v>
      </c>
      <c r="D431" s="6" t="n">
        <v>10</v>
      </c>
      <c r="E431" s="6" t="s">
        <v>86</v>
      </c>
      <c r="F431" s="6" t="s">
        <v>87</v>
      </c>
      <c r="G431" s="6" t="s">
        <v>262</v>
      </c>
      <c r="H431" s="7" t="s">
        <v>750</v>
      </c>
      <c r="I431" s="6" t="s">
        <v>90</v>
      </c>
      <c r="J431" s="6"/>
      <c r="K431" s="7" t="s">
        <v>730</v>
      </c>
      <c r="L431" s="6" t="n">
        <f aca="false">MAX(1,ROUND(0.3*Inputs!$B$4*Inputs!$B$5^(B431-1)*INDEX(Inputs!$C$15:$C$23,MATCH("compiling",Inputs!$A$15:$A$23,0))*Inputs!$B$7*Inputs!$B$6^(D431-1)/Inputs!$B$12,0))</f>
        <v>55</v>
      </c>
      <c r="M431" s="6" t="s">
        <v>368</v>
      </c>
      <c r="N431" s="6" t="n">
        <v>1</v>
      </c>
      <c r="O431" s="6" t="s">
        <v>731</v>
      </c>
      <c r="P431" s="7"/>
      <c r="Q431" s="6" t="s">
        <v>751</v>
      </c>
      <c r="R431" s="8" t="b">
        <f aca="false">TRUE()</f>
        <v>1</v>
      </c>
      <c r="S431" s="6" t="s">
        <v>93</v>
      </c>
    </row>
    <row r="432" customFormat="false" ht="23.85" hidden="false" customHeight="false" outlineLevel="0" collapsed="false">
      <c r="A432" s="2" t="s">
        <v>728</v>
      </c>
      <c r="B432" s="2" t="n">
        <v>2</v>
      </c>
      <c r="C432" s="2" t="s">
        <v>94</v>
      </c>
      <c r="D432" s="2" t="n">
        <v>1</v>
      </c>
      <c r="E432" s="2" t="s">
        <v>95</v>
      </c>
      <c r="F432" s="2" t="s">
        <v>22</v>
      </c>
      <c r="G432" s="2" t="s">
        <v>225</v>
      </c>
      <c r="H432" s="3" t="s">
        <v>729</v>
      </c>
      <c r="I432" s="2" t="s">
        <v>266</v>
      </c>
      <c r="J432" s="2" t="s">
        <v>267</v>
      </c>
      <c r="K432" s="3" t="s">
        <v>752</v>
      </c>
      <c r="L432" s="2" t="n">
        <f aca="false">MAX(1,ROUND(0.7*Inputs!$B$4*Inputs!$B$5^(B432-1)*INDEX(Inputs!$C$15:$C$23,MATCH("compiling",Inputs!$A$15:$A$23,0))*Inputs!$B$7*Inputs!$B$6^(D432-1)/Inputs!$B$12,0))</f>
        <v>40</v>
      </c>
      <c r="M432" s="2"/>
      <c r="N432" s="2"/>
      <c r="O432" s="2" t="s">
        <v>731</v>
      </c>
      <c r="P432" s="3"/>
      <c r="Q432" s="2" t="s">
        <v>732</v>
      </c>
      <c r="R432" s="2" t="n">
        <v>0.25</v>
      </c>
      <c r="S432" s="2" t="s">
        <v>233</v>
      </c>
    </row>
    <row r="433" customFormat="false" ht="15" hidden="false" customHeight="false" outlineLevel="0" collapsed="false">
      <c r="A433" s="2" t="s">
        <v>728</v>
      </c>
      <c r="B433" s="2" t="n">
        <v>2</v>
      </c>
      <c r="C433" s="2" t="s">
        <v>94</v>
      </c>
      <c r="D433" s="2" t="n">
        <v>2</v>
      </c>
      <c r="E433" s="2" t="s">
        <v>99</v>
      </c>
      <c r="F433" s="2" t="s">
        <v>22</v>
      </c>
      <c r="G433" s="2" t="s">
        <v>225</v>
      </c>
      <c r="H433" s="3" t="s">
        <v>733</v>
      </c>
      <c r="I433" s="2" t="s">
        <v>266</v>
      </c>
      <c r="J433" s="2" t="s">
        <v>268</v>
      </c>
      <c r="K433" s="3" t="s">
        <v>752</v>
      </c>
      <c r="L433" s="2" t="n">
        <f aca="false">MAX(1,ROUND(0.7*Inputs!$B$4*Inputs!$B$5^(B433-1)*INDEX(Inputs!$C$15:$C$23,MATCH("compiling",Inputs!$A$15:$A$23,0))*Inputs!$B$7*Inputs!$B$6^(D433-1)/Inputs!$B$12,0))</f>
        <v>46</v>
      </c>
      <c r="M433" s="2"/>
      <c r="N433" s="2"/>
      <c r="O433" s="2" t="s">
        <v>731</v>
      </c>
      <c r="P433" s="3"/>
      <c r="Q433" s="2" t="s">
        <v>732</v>
      </c>
      <c r="R433" s="2" t="n">
        <v>0.25</v>
      </c>
      <c r="S433" s="2" t="s">
        <v>267</v>
      </c>
    </row>
    <row r="434" customFormat="false" ht="15" hidden="false" customHeight="false" outlineLevel="0" collapsed="false">
      <c r="A434" s="2" t="s">
        <v>728</v>
      </c>
      <c r="B434" s="2" t="n">
        <v>2</v>
      </c>
      <c r="C434" s="2" t="s">
        <v>94</v>
      </c>
      <c r="D434" s="2" t="n">
        <v>3</v>
      </c>
      <c r="E434" s="2" t="s">
        <v>101</v>
      </c>
      <c r="F434" s="2" t="s">
        <v>22</v>
      </c>
      <c r="G434" s="2" t="s">
        <v>225</v>
      </c>
      <c r="H434" s="3" t="s">
        <v>733</v>
      </c>
      <c r="I434" s="2" t="s">
        <v>266</v>
      </c>
      <c r="J434" s="2" t="s">
        <v>269</v>
      </c>
      <c r="K434" s="3" t="s">
        <v>752</v>
      </c>
      <c r="L434" s="2" t="n">
        <f aca="false">MAX(1,ROUND(0.7*Inputs!$B$4*Inputs!$B$5^(B434-1)*INDEX(Inputs!$C$15:$C$23,MATCH("compiling",Inputs!$A$15:$A$23,0))*Inputs!$B$7*Inputs!$B$6^(D434-1)/Inputs!$B$12,0))</f>
        <v>53</v>
      </c>
      <c r="M434" s="2"/>
      <c r="N434" s="2"/>
      <c r="O434" s="2" t="s">
        <v>731</v>
      </c>
      <c r="P434" s="3"/>
      <c r="Q434" s="2" t="s">
        <v>732</v>
      </c>
      <c r="R434" s="2" t="n">
        <v>0.25</v>
      </c>
      <c r="S434" s="2" t="s">
        <v>268</v>
      </c>
    </row>
    <row r="435" customFormat="false" ht="35.05" hidden="false" customHeight="false" outlineLevel="0" collapsed="false">
      <c r="A435" s="2" t="s">
        <v>728</v>
      </c>
      <c r="B435" s="2" t="n">
        <v>2</v>
      </c>
      <c r="C435" s="2" t="s">
        <v>94</v>
      </c>
      <c r="D435" s="2" t="n">
        <v>4</v>
      </c>
      <c r="E435" s="2" t="s">
        <v>103</v>
      </c>
      <c r="F435" s="2" t="s">
        <v>22</v>
      </c>
      <c r="G435" s="2" t="s">
        <v>234</v>
      </c>
      <c r="H435" s="3" t="s">
        <v>734</v>
      </c>
      <c r="I435" s="2" t="s">
        <v>592</v>
      </c>
      <c r="J435" s="2" t="s">
        <v>621</v>
      </c>
      <c r="K435" s="3" t="s">
        <v>752</v>
      </c>
      <c r="L435" s="2" t="n">
        <f aca="false">MAX(1,ROUND(0.7*Inputs!$B$4*Inputs!$B$5^(B435-1)*INDEX(Inputs!$C$15:$C$23,MATCH("compiling",Inputs!$A$15:$A$23,0))*Inputs!$B$7*Inputs!$B$6^(D435-1)/Inputs!$B$12,0))</f>
        <v>61</v>
      </c>
      <c r="M435" s="2"/>
      <c r="N435" s="2"/>
      <c r="O435" s="2" t="s">
        <v>731</v>
      </c>
      <c r="P435" s="3"/>
      <c r="Q435" s="2" t="s">
        <v>735</v>
      </c>
      <c r="R435" s="2" t="n">
        <v>0.016667</v>
      </c>
      <c r="S435" s="2" t="s">
        <v>597</v>
      </c>
    </row>
    <row r="436" customFormat="false" ht="15" hidden="false" customHeight="false" outlineLevel="0" collapsed="false">
      <c r="A436" s="2" t="s">
        <v>728</v>
      </c>
      <c r="B436" s="2" t="n">
        <v>2</v>
      </c>
      <c r="C436" s="2" t="s">
        <v>94</v>
      </c>
      <c r="D436" s="2" t="n">
        <v>5</v>
      </c>
      <c r="E436" s="2" t="s">
        <v>105</v>
      </c>
      <c r="F436" s="2" t="s">
        <v>22</v>
      </c>
      <c r="G436" s="2" t="s">
        <v>234</v>
      </c>
      <c r="H436" s="3" t="s">
        <v>736</v>
      </c>
      <c r="I436" s="2" t="s">
        <v>592</v>
      </c>
      <c r="J436" s="2" t="s">
        <v>622</v>
      </c>
      <c r="K436" s="3" t="s">
        <v>752</v>
      </c>
      <c r="L436" s="2" t="n">
        <f aca="false">MAX(1,ROUND(0.7*Inputs!$B$4*Inputs!$B$5^(B436-1)*INDEX(Inputs!$C$15:$C$23,MATCH("compiling",Inputs!$A$15:$A$23,0))*Inputs!$B$7*Inputs!$B$6^(D436-1)/Inputs!$B$12,0))</f>
        <v>70</v>
      </c>
      <c r="M436" s="2"/>
      <c r="N436" s="2"/>
      <c r="O436" s="2" t="s">
        <v>731</v>
      </c>
      <c r="P436" s="3"/>
      <c r="Q436" s="2" t="s">
        <v>735</v>
      </c>
      <c r="R436" s="2" t="n">
        <v>0.016667</v>
      </c>
      <c r="S436" s="2" t="s">
        <v>621</v>
      </c>
    </row>
    <row r="437" customFormat="false" ht="23.85" hidden="false" customHeight="false" outlineLevel="0" collapsed="false">
      <c r="A437" s="2" t="s">
        <v>728</v>
      </c>
      <c r="B437" s="2" t="n">
        <v>2</v>
      </c>
      <c r="C437" s="2" t="s">
        <v>94</v>
      </c>
      <c r="D437" s="2" t="n">
        <v>6</v>
      </c>
      <c r="E437" s="2" t="s">
        <v>107</v>
      </c>
      <c r="F437" s="2" t="s">
        <v>22</v>
      </c>
      <c r="G437" s="2" t="s">
        <v>436</v>
      </c>
      <c r="H437" s="3" t="s">
        <v>737</v>
      </c>
      <c r="I437" s="2" t="s">
        <v>343</v>
      </c>
      <c r="J437" s="2" t="s">
        <v>541</v>
      </c>
      <c r="K437" s="3" t="s">
        <v>752</v>
      </c>
      <c r="L437" s="2" t="n">
        <f aca="false">MAX(1,ROUND(0.7*Inputs!$B$4*Inputs!$B$5^(B437-1)*INDEX(Inputs!$C$15:$C$23,MATCH("compiling",Inputs!$A$15:$A$23,0))*Inputs!$B$7*Inputs!$B$6^(D437-1)/Inputs!$B$12,0))</f>
        <v>80</v>
      </c>
      <c r="M437" s="2"/>
      <c r="N437" s="2"/>
      <c r="O437" s="2" t="s">
        <v>731</v>
      </c>
      <c r="P437" s="3"/>
      <c r="Q437" s="2" t="s">
        <v>738</v>
      </c>
      <c r="R437" s="2" t="n">
        <v>0.016667</v>
      </c>
      <c r="S437" s="2" t="s">
        <v>526</v>
      </c>
    </row>
    <row r="438" customFormat="false" ht="15" hidden="false" customHeight="false" outlineLevel="0" collapsed="false">
      <c r="A438" s="2" t="s">
        <v>728</v>
      </c>
      <c r="B438" s="2" t="n">
        <v>2</v>
      </c>
      <c r="C438" s="2" t="s">
        <v>94</v>
      </c>
      <c r="D438" s="2" t="n">
        <v>7</v>
      </c>
      <c r="E438" s="2" t="s">
        <v>109</v>
      </c>
      <c r="F438" s="2" t="s">
        <v>22</v>
      </c>
      <c r="G438" s="2" t="s">
        <v>436</v>
      </c>
      <c r="H438" s="3" t="s">
        <v>525</v>
      </c>
      <c r="I438" s="2" t="s">
        <v>343</v>
      </c>
      <c r="J438" s="2" t="s">
        <v>542</v>
      </c>
      <c r="K438" s="3" t="s">
        <v>752</v>
      </c>
      <c r="L438" s="2" t="n">
        <f aca="false">MAX(1,ROUND(0.7*Inputs!$B$4*Inputs!$B$5^(B438-1)*INDEX(Inputs!$C$15:$C$23,MATCH("compiling",Inputs!$A$15:$A$23,0))*Inputs!$B$7*Inputs!$B$6^(D438-1)/Inputs!$B$12,0))</f>
        <v>92</v>
      </c>
      <c r="M438" s="2"/>
      <c r="N438" s="2"/>
      <c r="O438" s="2" t="s">
        <v>731</v>
      </c>
      <c r="P438" s="3"/>
      <c r="Q438" s="2" t="s">
        <v>738</v>
      </c>
      <c r="R438" s="2" t="n">
        <v>0.016667</v>
      </c>
      <c r="S438" s="2" t="s">
        <v>541</v>
      </c>
    </row>
    <row r="439" customFormat="false" ht="15" hidden="false" customHeight="false" outlineLevel="0" collapsed="false">
      <c r="A439" s="4" t="s">
        <v>728</v>
      </c>
      <c r="B439" s="4" t="n">
        <v>2</v>
      </c>
      <c r="C439" s="4" t="s">
        <v>94</v>
      </c>
      <c r="D439" s="4" t="n">
        <v>8</v>
      </c>
      <c r="E439" s="4" t="s">
        <v>111</v>
      </c>
      <c r="F439" s="4" t="s">
        <v>72</v>
      </c>
      <c r="G439" s="4" t="s">
        <v>739</v>
      </c>
      <c r="H439" s="5" t="s">
        <v>740</v>
      </c>
      <c r="I439" s="4" t="s">
        <v>741</v>
      </c>
      <c r="J439" s="4" t="s">
        <v>753</v>
      </c>
      <c r="K439" s="5" t="s">
        <v>752</v>
      </c>
      <c r="L439" s="4" t="n">
        <f aca="false">MAX(1,ROUND(0.7*Inputs!$B$4*Inputs!$B$5^(B439-1)*INDEX(Inputs!$C$15:$C$23,MATCH("compiling",Inputs!$A$15:$A$23,0))*Inputs!$B$7*Inputs!$B$6^(D439-1)/Inputs!$B$12,0))</f>
        <v>106</v>
      </c>
      <c r="M439" s="4"/>
      <c r="N439" s="4"/>
      <c r="O439" s="4" t="s">
        <v>731</v>
      </c>
      <c r="P439" s="5"/>
      <c r="Q439" s="4" t="s">
        <v>743</v>
      </c>
      <c r="R439" s="4" t="n">
        <v>0.025</v>
      </c>
      <c r="S439" s="4" t="s">
        <v>742</v>
      </c>
    </row>
    <row r="440" customFormat="false" ht="15" hidden="false" customHeight="false" outlineLevel="0" collapsed="false">
      <c r="A440" s="4" t="s">
        <v>728</v>
      </c>
      <c r="B440" s="4" t="n">
        <v>2</v>
      </c>
      <c r="C440" s="4" t="s">
        <v>94</v>
      </c>
      <c r="D440" s="4" t="n">
        <v>9</v>
      </c>
      <c r="E440" s="4" t="s">
        <v>113</v>
      </c>
      <c r="F440" s="4" t="s">
        <v>72</v>
      </c>
      <c r="G440" s="4" t="s">
        <v>745</v>
      </c>
      <c r="H440" s="5" t="s">
        <v>746</v>
      </c>
      <c r="I440" s="4" t="s">
        <v>605</v>
      </c>
      <c r="J440" s="4" t="s">
        <v>754</v>
      </c>
      <c r="K440" s="5" t="s">
        <v>752</v>
      </c>
      <c r="L440" s="4" t="n">
        <f aca="false">MAX(1,ROUND(0.7*Inputs!$B$4*Inputs!$B$5^(B440-1)*INDEX(Inputs!$C$15:$C$23,MATCH("compiling",Inputs!$A$15:$A$23,0))*Inputs!$B$7*Inputs!$B$6^(D440-1)/Inputs!$B$12,0))</f>
        <v>122</v>
      </c>
      <c r="M440" s="4"/>
      <c r="N440" s="4"/>
      <c r="O440" s="4" t="s">
        <v>731</v>
      </c>
      <c r="P440" s="5"/>
      <c r="Q440" s="4" t="s">
        <v>748</v>
      </c>
      <c r="R440" s="4" t="n">
        <v>0.05</v>
      </c>
      <c r="S440" s="4" t="s">
        <v>747</v>
      </c>
    </row>
    <row r="441" customFormat="false" ht="15" hidden="false" customHeight="false" outlineLevel="0" collapsed="false">
      <c r="A441" s="6" t="s">
        <v>728</v>
      </c>
      <c r="B441" s="6" t="n">
        <v>2</v>
      </c>
      <c r="C441" s="6" t="s">
        <v>94</v>
      </c>
      <c r="D441" s="6" t="n">
        <v>10</v>
      </c>
      <c r="E441" s="6" t="s">
        <v>115</v>
      </c>
      <c r="F441" s="6" t="s">
        <v>87</v>
      </c>
      <c r="G441" s="6" t="s">
        <v>755</v>
      </c>
      <c r="H441" s="7" t="s">
        <v>756</v>
      </c>
      <c r="I441" s="6" t="s">
        <v>90</v>
      </c>
      <c r="J441" s="6"/>
      <c r="K441" s="7" t="s">
        <v>752</v>
      </c>
      <c r="L441" s="6" t="n">
        <f aca="false">MAX(1,ROUND(0.7*Inputs!$B$4*Inputs!$B$5^(B441-1)*INDEX(Inputs!$C$15:$C$23,MATCH("compiling",Inputs!$A$15:$A$23,0))*Inputs!$B$7*Inputs!$B$6^(D441-1)/Inputs!$B$12,0))</f>
        <v>140</v>
      </c>
      <c r="M441" s="6" t="s">
        <v>379</v>
      </c>
      <c r="N441" s="6" t="n">
        <v>1</v>
      </c>
      <c r="O441" s="6" t="s">
        <v>731</v>
      </c>
      <c r="P441" s="7"/>
      <c r="Q441" s="6" t="s">
        <v>757</v>
      </c>
      <c r="R441" s="8" t="b">
        <f aca="false">TRUE()</f>
        <v>1</v>
      </c>
      <c r="S441" s="6" t="s">
        <v>93</v>
      </c>
    </row>
    <row r="442" customFormat="false" ht="23.85" hidden="false" customHeight="false" outlineLevel="0" collapsed="false">
      <c r="A442" s="2" t="s">
        <v>728</v>
      </c>
      <c r="B442" s="2" t="n">
        <v>3</v>
      </c>
      <c r="C442" s="2" t="s">
        <v>120</v>
      </c>
      <c r="D442" s="2" t="n">
        <v>1</v>
      </c>
      <c r="E442" s="2" t="s">
        <v>121</v>
      </c>
      <c r="F442" s="2" t="s">
        <v>22</v>
      </c>
      <c r="G442" s="2" t="s">
        <v>225</v>
      </c>
      <c r="H442" s="3" t="s">
        <v>729</v>
      </c>
      <c r="I442" s="2" t="s">
        <v>280</v>
      </c>
      <c r="J442" s="2" t="s">
        <v>281</v>
      </c>
      <c r="K442" s="3" t="s">
        <v>758</v>
      </c>
      <c r="L442" s="2" t="n">
        <f aca="false">MAX(1,ROUND(0.85*Inputs!$B$4*Inputs!$B$5^(B442-1)*INDEX(Inputs!$C$15:$C$23,MATCH("compiling",Inputs!$A$15:$A$23,0))*Inputs!$B$7*Inputs!$B$6^(D442-1)/Inputs!$B$12,0))</f>
        <v>53</v>
      </c>
      <c r="M442" s="2"/>
      <c r="N442" s="2"/>
      <c r="O442" s="2" t="s">
        <v>731</v>
      </c>
      <c r="P442" s="3"/>
      <c r="Q442" s="2" t="s">
        <v>732</v>
      </c>
      <c r="R442" s="2" t="n">
        <v>0.375</v>
      </c>
      <c r="S442" s="2" t="s">
        <v>269</v>
      </c>
    </row>
    <row r="443" customFormat="false" ht="15" hidden="false" customHeight="false" outlineLevel="0" collapsed="false">
      <c r="A443" s="2" t="s">
        <v>728</v>
      </c>
      <c r="B443" s="2" t="n">
        <v>3</v>
      </c>
      <c r="C443" s="2" t="s">
        <v>120</v>
      </c>
      <c r="D443" s="2" t="n">
        <v>2</v>
      </c>
      <c r="E443" s="2" t="s">
        <v>125</v>
      </c>
      <c r="F443" s="2" t="s">
        <v>22</v>
      </c>
      <c r="G443" s="2" t="s">
        <v>225</v>
      </c>
      <c r="H443" s="3" t="s">
        <v>733</v>
      </c>
      <c r="I443" s="2" t="s">
        <v>280</v>
      </c>
      <c r="J443" s="2" t="s">
        <v>282</v>
      </c>
      <c r="K443" s="3" t="s">
        <v>758</v>
      </c>
      <c r="L443" s="2" t="n">
        <f aca="false">MAX(1,ROUND(0.85*Inputs!$B$4*Inputs!$B$5^(B443-1)*INDEX(Inputs!$C$15:$C$23,MATCH("compiling",Inputs!$A$15:$A$23,0))*Inputs!$B$7*Inputs!$B$6^(D443-1)/Inputs!$B$12,0))</f>
        <v>61</v>
      </c>
      <c r="M443" s="2"/>
      <c r="N443" s="2"/>
      <c r="O443" s="2" t="s">
        <v>731</v>
      </c>
      <c r="P443" s="3"/>
      <c r="Q443" s="2" t="s">
        <v>732</v>
      </c>
      <c r="R443" s="2" t="n">
        <v>0.375</v>
      </c>
      <c r="S443" s="2" t="s">
        <v>281</v>
      </c>
    </row>
    <row r="444" customFormat="false" ht="15" hidden="false" customHeight="false" outlineLevel="0" collapsed="false">
      <c r="A444" s="2" t="s">
        <v>728</v>
      </c>
      <c r="B444" s="2" t="n">
        <v>3</v>
      </c>
      <c r="C444" s="2" t="s">
        <v>120</v>
      </c>
      <c r="D444" s="2" t="n">
        <v>3</v>
      </c>
      <c r="E444" s="2" t="s">
        <v>127</v>
      </c>
      <c r="F444" s="2" t="s">
        <v>22</v>
      </c>
      <c r="G444" s="2" t="s">
        <v>225</v>
      </c>
      <c r="H444" s="3" t="s">
        <v>733</v>
      </c>
      <c r="I444" s="2" t="s">
        <v>280</v>
      </c>
      <c r="J444" s="2" t="s">
        <v>283</v>
      </c>
      <c r="K444" s="3" t="s">
        <v>758</v>
      </c>
      <c r="L444" s="2" t="n">
        <f aca="false">MAX(1,ROUND(0.85*Inputs!$B$4*Inputs!$B$5^(B444-1)*INDEX(Inputs!$C$15:$C$23,MATCH("compiling",Inputs!$A$15:$A$23,0))*Inputs!$B$7*Inputs!$B$6^(D444-1)/Inputs!$B$12,0))</f>
        <v>70</v>
      </c>
      <c r="M444" s="2"/>
      <c r="N444" s="2"/>
      <c r="O444" s="2" t="s">
        <v>731</v>
      </c>
      <c r="P444" s="3"/>
      <c r="Q444" s="2" t="s">
        <v>732</v>
      </c>
      <c r="R444" s="2" t="n">
        <v>0.375</v>
      </c>
      <c r="S444" s="2" t="s">
        <v>282</v>
      </c>
    </row>
    <row r="445" customFormat="false" ht="35.05" hidden="false" customHeight="false" outlineLevel="0" collapsed="false">
      <c r="A445" s="2" t="s">
        <v>728</v>
      </c>
      <c r="B445" s="2" t="n">
        <v>3</v>
      </c>
      <c r="C445" s="2" t="s">
        <v>120</v>
      </c>
      <c r="D445" s="2" t="n">
        <v>4</v>
      </c>
      <c r="E445" s="2" t="s">
        <v>129</v>
      </c>
      <c r="F445" s="2" t="s">
        <v>22</v>
      </c>
      <c r="G445" s="2" t="s">
        <v>234</v>
      </c>
      <c r="H445" s="3" t="s">
        <v>734</v>
      </c>
      <c r="I445" s="2" t="s">
        <v>592</v>
      </c>
      <c r="J445" s="2" t="s">
        <v>630</v>
      </c>
      <c r="K445" s="3" t="s">
        <v>758</v>
      </c>
      <c r="L445" s="2" t="n">
        <f aca="false">MAX(1,ROUND(0.85*Inputs!$B$4*Inputs!$B$5^(B445-1)*INDEX(Inputs!$C$15:$C$23,MATCH("compiling",Inputs!$A$15:$A$23,0))*Inputs!$B$7*Inputs!$B$6^(D445-1)/Inputs!$B$12,0))</f>
        <v>81</v>
      </c>
      <c r="M445" s="2"/>
      <c r="N445" s="2"/>
      <c r="O445" s="2" t="s">
        <v>731</v>
      </c>
      <c r="P445" s="3"/>
      <c r="Q445" s="2" t="s">
        <v>735</v>
      </c>
      <c r="R445" s="2" t="n">
        <v>0.016667</v>
      </c>
      <c r="S445" s="2" t="s">
        <v>622</v>
      </c>
    </row>
    <row r="446" customFormat="false" ht="15" hidden="false" customHeight="false" outlineLevel="0" collapsed="false">
      <c r="A446" s="2" t="s">
        <v>728</v>
      </c>
      <c r="B446" s="2" t="n">
        <v>3</v>
      </c>
      <c r="C446" s="2" t="s">
        <v>120</v>
      </c>
      <c r="D446" s="2" t="n">
        <v>5</v>
      </c>
      <c r="E446" s="2" t="s">
        <v>131</v>
      </c>
      <c r="F446" s="2" t="s">
        <v>22</v>
      </c>
      <c r="G446" s="2" t="s">
        <v>234</v>
      </c>
      <c r="H446" s="3" t="s">
        <v>736</v>
      </c>
      <c r="I446" s="2" t="s">
        <v>592</v>
      </c>
      <c r="J446" s="2" t="s">
        <v>631</v>
      </c>
      <c r="K446" s="3" t="s">
        <v>758</v>
      </c>
      <c r="L446" s="2" t="n">
        <f aca="false">MAX(1,ROUND(0.85*Inputs!$B$4*Inputs!$B$5^(B446-1)*INDEX(Inputs!$C$15:$C$23,MATCH("compiling",Inputs!$A$15:$A$23,0))*Inputs!$B$7*Inputs!$B$6^(D446-1)/Inputs!$B$12,0))</f>
        <v>93</v>
      </c>
      <c r="M446" s="2"/>
      <c r="N446" s="2"/>
      <c r="O446" s="2" t="s">
        <v>731</v>
      </c>
      <c r="P446" s="3"/>
      <c r="Q446" s="2" t="s">
        <v>735</v>
      </c>
      <c r="R446" s="2" t="n">
        <v>0.016667</v>
      </c>
      <c r="S446" s="2" t="s">
        <v>630</v>
      </c>
    </row>
    <row r="447" customFormat="false" ht="23.85" hidden="false" customHeight="false" outlineLevel="0" collapsed="false">
      <c r="A447" s="2" t="s">
        <v>728</v>
      </c>
      <c r="B447" s="2" t="n">
        <v>3</v>
      </c>
      <c r="C447" s="2" t="s">
        <v>120</v>
      </c>
      <c r="D447" s="2" t="n">
        <v>6</v>
      </c>
      <c r="E447" s="2" t="s">
        <v>133</v>
      </c>
      <c r="F447" s="2" t="s">
        <v>22</v>
      </c>
      <c r="G447" s="2" t="s">
        <v>436</v>
      </c>
      <c r="H447" s="3" t="s">
        <v>737</v>
      </c>
      <c r="I447" s="2" t="s">
        <v>343</v>
      </c>
      <c r="J447" s="2" t="s">
        <v>550</v>
      </c>
      <c r="K447" s="3" t="s">
        <v>758</v>
      </c>
      <c r="L447" s="2" t="n">
        <f aca="false">MAX(1,ROUND(0.85*Inputs!$B$4*Inputs!$B$5^(B447-1)*INDEX(Inputs!$C$15:$C$23,MATCH("compiling",Inputs!$A$15:$A$23,0))*Inputs!$B$7*Inputs!$B$6^(D447-1)/Inputs!$B$12,0))</f>
        <v>107</v>
      </c>
      <c r="M447" s="2"/>
      <c r="N447" s="2"/>
      <c r="O447" s="2" t="s">
        <v>731</v>
      </c>
      <c r="P447" s="3"/>
      <c r="Q447" s="2" t="s">
        <v>738</v>
      </c>
      <c r="R447" s="2" t="n">
        <v>0.016667</v>
      </c>
      <c r="S447" s="2" t="s">
        <v>542</v>
      </c>
    </row>
    <row r="448" customFormat="false" ht="15" hidden="false" customHeight="false" outlineLevel="0" collapsed="false">
      <c r="A448" s="2" t="s">
        <v>728</v>
      </c>
      <c r="B448" s="2" t="n">
        <v>3</v>
      </c>
      <c r="C448" s="2" t="s">
        <v>120</v>
      </c>
      <c r="D448" s="2" t="n">
        <v>7</v>
      </c>
      <c r="E448" s="2" t="s">
        <v>135</v>
      </c>
      <c r="F448" s="2" t="s">
        <v>22</v>
      </c>
      <c r="G448" s="2" t="s">
        <v>436</v>
      </c>
      <c r="H448" s="3" t="s">
        <v>525</v>
      </c>
      <c r="I448" s="2" t="s">
        <v>343</v>
      </c>
      <c r="J448" s="2" t="s">
        <v>551</v>
      </c>
      <c r="K448" s="3" t="s">
        <v>758</v>
      </c>
      <c r="L448" s="2" t="n">
        <f aca="false">MAX(1,ROUND(0.85*Inputs!$B$4*Inputs!$B$5^(B448-1)*INDEX(Inputs!$C$15:$C$23,MATCH("compiling",Inputs!$A$15:$A$23,0))*Inputs!$B$7*Inputs!$B$6^(D448-1)/Inputs!$B$12,0))</f>
        <v>123</v>
      </c>
      <c r="M448" s="2"/>
      <c r="N448" s="2"/>
      <c r="O448" s="2" t="s">
        <v>731</v>
      </c>
      <c r="P448" s="3"/>
      <c r="Q448" s="2" t="s">
        <v>738</v>
      </c>
      <c r="R448" s="2" t="n">
        <v>0.016667</v>
      </c>
      <c r="S448" s="2" t="s">
        <v>550</v>
      </c>
    </row>
    <row r="449" customFormat="false" ht="15" hidden="false" customHeight="false" outlineLevel="0" collapsed="false">
      <c r="A449" s="4" t="s">
        <v>728</v>
      </c>
      <c r="B449" s="4" t="n">
        <v>3</v>
      </c>
      <c r="C449" s="4" t="s">
        <v>120</v>
      </c>
      <c r="D449" s="4" t="n">
        <v>8</v>
      </c>
      <c r="E449" s="4" t="s">
        <v>137</v>
      </c>
      <c r="F449" s="4" t="s">
        <v>72</v>
      </c>
      <c r="G449" s="4" t="s">
        <v>739</v>
      </c>
      <c r="H449" s="5" t="s">
        <v>740</v>
      </c>
      <c r="I449" s="4" t="s">
        <v>741</v>
      </c>
      <c r="J449" s="4" t="s">
        <v>759</v>
      </c>
      <c r="K449" s="5" t="s">
        <v>758</v>
      </c>
      <c r="L449" s="4" t="n">
        <f aca="false">MAX(1,ROUND(0.85*Inputs!$B$4*Inputs!$B$5^(B449-1)*INDEX(Inputs!$C$15:$C$23,MATCH("compiling",Inputs!$A$15:$A$23,0))*Inputs!$B$7*Inputs!$B$6^(D449-1)/Inputs!$B$12,0))</f>
        <v>141</v>
      </c>
      <c r="M449" s="4"/>
      <c r="N449" s="4"/>
      <c r="O449" s="4" t="s">
        <v>731</v>
      </c>
      <c r="P449" s="5"/>
      <c r="Q449" s="4" t="s">
        <v>743</v>
      </c>
      <c r="R449" s="4" t="n">
        <v>0.025</v>
      </c>
      <c r="S449" s="4" t="s">
        <v>753</v>
      </c>
    </row>
    <row r="450" customFormat="false" ht="15" hidden="false" customHeight="false" outlineLevel="0" collapsed="false">
      <c r="A450" s="4" t="s">
        <v>728</v>
      </c>
      <c r="B450" s="4" t="n">
        <v>3</v>
      </c>
      <c r="C450" s="4" t="s">
        <v>120</v>
      </c>
      <c r="D450" s="4" t="n">
        <v>9</v>
      </c>
      <c r="E450" s="4" t="s">
        <v>139</v>
      </c>
      <c r="F450" s="4" t="s">
        <v>72</v>
      </c>
      <c r="G450" s="4" t="s">
        <v>745</v>
      </c>
      <c r="H450" s="5" t="s">
        <v>746</v>
      </c>
      <c r="I450" s="4" t="s">
        <v>605</v>
      </c>
      <c r="J450" s="4" t="s">
        <v>760</v>
      </c>
      <c r="K450" s="5" t="s">
        <v>758</v>
      </c>
      <c r="L450" s="4" t="n">
        <f aca="false">MAX(1,ROUND(0.85*Inputs!$B$4*Inputs!$B$5^(B450-1)*INDEX(Inputs!$C$15:$C$23,MATCH("compiling",Inputs!$A$15:$A$23,0))*Inputs!$B$7*Inputs!$B$6^(D450-1)/Inputs!$B$12,0))</f>
        <v>163</v>
      </c>
      <c r="M450" s="4"/>
      <c r="N450" s="4"/>
      <c r="O450" s="4" t="s">
        <v>731</v>
      </c>
      <c r="P450" s="5"/>
      <c r="Q450" s="4" t="s">
        <v>748</v>
      </c>
      <c r="R450" s="4" t="n">
        <v>0.05</v>
      </c>
      <c r="S450" s="4" t="s">
        <v>754</v>
      </c>
    </row>
    <row r="451" customFormat="false" ht="35.05" hidden="false" customHeight="false" outlineLevel="0" collapsed="false">
      <c r="A451" s="6" t="s">
        <v>728</v>
      </c>
      <c r="B451" s="6" t="n">
        <v>3</v>
      </c>
      <c r="C451" s="6" t="s">
        <v>120</v>
      </c>
      <c r="D451" s="6" t="n">
        <v>10</v>
      </c>
      <c r="E451" s="6" t="s">
        <v>141</v>
      </c>
      <c r="F451" s="6" t="s">
        <v>87</v>
      </c>
      <c r="G451" s="6" t="s">
        <v>761</v>
      </c>
      <c r="H451" s="7" t="s">
        <v>762</v>
      </c>
      <c r="I451" s="6" t="s">
        <v>90</v>
      </c>
      <c r="J451" s="6"/>
      <c r="K451" s="7" t="s">
        <v>758</v>
      </c>
      <c r="L451" s="6" t="n">
        <f aca="false">MAX(1,ROUND(0.85*Inputs!$B$4*Inputs!$B$5^(B451-1)*INDEX(Inputs!$C$15:$C$23,MATCH("compiling",Inputs!$A$15:$A$23,0))*Inputs!$B$7*Inputs!$B$6^(D451-1)/Inputs!$B$12,0))</f>
        <v>187</v>
      </c>
      <c r="M451" s="6" t="s">
        <v>390</v>
      </c>
      <c r="N451" s="6" t="n">
        <v>2</v>
      </c>
      <c r="O451" s="6" t="s">
        <v>731</v>
      </c>
      <c r="P451" s="7"/>
      <c r="Q451" s="6" t="s">
        <v>763</v>
      </c>
      <c r="R451" s="8" t="b">
        <f aca="false">TRUE()</f>
        <v>1</v>
      </c>
      <c r="S451" s="6" t="s">
        <v>93</v>
      </c>
    </row>
    <row r="452" customFormat="false" ht="23.85" hidden="false" customHeight="false" outlineLevel="0" collapsed="false">
      <c r="A452" s="2" t="s">
        <v>728</v>
      </c>
      <c r="B452" s="2" t="n">
        <v>4</v>
      </c>
      <c r="C452" s="2" t="s">
        <v>146</v>
      </c>
      <c r="D452" s="2" t="n">
        <v>1</v>
      </c>
      <c r="E452" s="2" t="s">
        <v>147</v>
      </c>
      <c r="F452" s="2" t="s">
        <v>22</v>
      </c>
      <c r="G452" s="2" t="s">
        <v>225</v>
      </c>
      <c r="H452" s="3" t="s">
        <v>729</v>
      </c>
      <c r="I452" s="2" t="s">
        <v>294</v>
      </c>
      <c r="J452" s="2" t="s">
        <v>295</v>
      </c>
      <c r="K452" s="3" t="s">
        <v>764</v>
      </c>
      <c r="L452" s="2" t="n">
        <f aca="false">MAX(1,ROUND(0.75*Inputs!$B$4*Inputs!$B$5^(B452-1)*INDEX(Inputs!$C$15:$C$23,MATCH("compiling",Inputs!$A$15:$A$23,0))*Inputs!$B$7*Inputs!$B$6^(D452-1)/Inputs!$B$12,0))</f>
        <v>52</v>
      </c>
      <c r="M452" s="2"/>
      <c r="N452" s="2"/>
      <c r="O452" s="2" t="s">
        <v>731</v>
      </c>
      <c r="P452" s="3"/>
      <c r="Q452" s="2" t="s">
        <v>732</v>
      </c>
      <c r="R452" s="2" t="n">
        <v>0.5625</v>
      </c>
      <c r="S452" s="2" t="s">
        <v>283</v>
      </c>
    </row>
    <row r="453" customFormat="false" ht="15" hidden="false" customHeight="false" outlineLevel="0" collapsed="false">
      <c r="A453" s="2" t="s">
        <v>728</v>
      </c>
      <c r="B453" s="2" t="n">
        <v>4</v>
      </c>
      <c r="C453" s="2" t="s">
        <v>146</v>
      </c>
      <c r="D453" s="2" t="n">
        <v>2</v>
      </c>
      <c r="E453" s="2" t="s">
        <v>151</v>
      </c>
      <c r="F453" s="2" t="s">
        <v>22</v>
      </c>
      <c r="G453" s="2" t="s">
        <v>225</v>
      </c>
      <c r="H453" s="3" t="s">
        <v>733</v>
      </c>
      <c r="I453" s="2" t="s">
        <v>294</v>
      </c>
      <c r="J453" s="2" t="s">
        <v>296</v>
      </c>
      <c r="K453" s="3" t="s">
        <v>764</v>
      </c>
      <c r="L453" s="2" t="n">
        <f aca="false">MAX(1,ROUND(0.75*Inputs!$B$4*Inputs!$B$5^(B453-1)*INDEX(Inputs!$C$15:$C$23,MATCH("compiling",Inputs!$A$15:$A$23,0))*Inputs!$B$7*Inputs!$B$6^(D453-1)/Inputs!$B$12,0))</f>
        <v>59</v>
      </c>
      <c r="M453" s="2"/>
      <c r="N453" s="2"/>
      <c r="O453" s="2" t="s">
        <v>731</v>
      </c>
      <c r="P453" s="3"/>
      <c r="Q453" s="2" t="s">
        <v>732</v>
      </c>
      <c r="R453" s="2" t="n">
        <v>0.5625</v>
      </c>
      <c r="S453" s="2" t="s">
        <v>295</v>
      </c>
    </row>
    <row r="454" customFormat="false" ht="15" hidden="false" customHeight="false" outlineLevel="0" collapsed="false">
      <c r="A454" s="2" t="s">
        <v>728</v>
      </c>
      <c r="B454" s="2" t="n">
        <v>4</v>
      </c>
      <c r="C454" s="2" t="s">
        <v>146</v>
      </c>
      <c r="D454" s="2" t="n">
        <v>3</v>
      </c>
      <c r="E454" s="2" t="s">
        <v>153</v>
      </c>
      <c r="F454" s="2" t="s">
        <v>22</v>
      </c>
      <c r="G454" s="2" t="s">
        <v>225</v>
      </c>
      <c r="H454" s="3" t="s">
        <v>733</v>
      </c>
      <c r="I454" s="2" t="s">
        <v>294</v>
      </c>
      <c r="J454" s="2" t="s">
        <v>297</v>
      </c>
      <c r="K454" s="3" t="s">
        <v>764</v>
      </c>
      <c r="L454" s="2" t="n">
        <f aca="false">MAX(1,ROUND(0.75*Inputs!$B$4*Inputs!$B$5^(B454-1)*INDEX(Inputs!$C$15:$C$23,MATCH("compiling",Inputs!$A$15:$A$23,0))*Inputs!$B$7*Inputs!$B$6^(D454-1)/Inputs!$B$12,0))</f>
        <v>68</v>
      </c>
      <c r="M454" s="2"/>
      <c r="N454" s="2"/>
      <c r="O454" s="2" t="s">
        <v>731</v>
      </c>
      <c r="P454" s="3"/>
      <c r="Q454" s="2" t="s">
        <v>732</v>
      </c>
      <c r="R454" s="2" t="n">
        <v>0.5625</v>
      </c>
      <c r="S454" s="2" t="s">
        <v>296</v>
      </c>
    </row>
    <row r="455" customFormat="false" ht="35.05" hidden="false" customHeight="false" outlineLevel="0" collapsed="false">
      <c r="A455" s="2" t="s">
        <v>728</v>
      </c>
      <c r="B455" s="2" t="n">
        <v>4</v>
      </c>
      <c r="C455" s="2" t="s">
        <v>146</v>
      </c>
      <c r="D455" s="2" t="n">
        <v>4</v>
      </c>
      <c r="E455" s="2" t="s">
        <v>155</v>
      </c>
      <c r="F455" s="2" t="s">
        <v>22</v>
      </c>
      <c r="G455" s="2" t="s">
        <v>234</v>
      </c>
      <c r="H455" s="3" t="s">
        <v>734</v>
      </c>
      <c r="I455" s="2" t="s">
        <v>592</v>
      </c>
      <c r="J455" s="2" t="s">
        <v>639</v>
      </c>
      <c r="K455" s="3" t="s">
        <v>764</v>
      </c>
      <c r="L455" s="2" t="n">
        <f aca="false">MAX(1,ROUND(0.75*Inputs!$B$4*Inputs!$B$5^(B455-1)*INDEX(Inputs!$C$15:$C$23,MATCH("compiling",Inputs!$A$15:$A$23,0))*Inputs!$B$7*Inputs!$B$6^(D455-1)/Inputs!$B$12,0))</f>
        <v>79</v>
      </c>
      <c r="M455" s="2"/>
      <c r="N455" s="2"/>
      <c r="O455" s="2" t="s">
        <v>731</v>
      </c>
      <c r="P455" s="3"/>
      <c r="Q455" s="2" t="s">
        <v>735</v>
      </c>
      <c r="R455" s="2" t="n">
        <v>0.016667</v>
      </c>
      <c r="S455" s="2" t="s">
        <v>631</v>
      </c>
    </row>
    <row r="456" customFormat="false" ht="15" hidden="false" customHeight="false" outlineLevel="0" collapsed="false">
      <c r="A456" s="2" t="s">
        <v>728</v>
      </c>
      <c r="B456" s="2" t="n">
        <v>4</v>
      </c>
      <c r="C456" s="2" t="s">
        <v>146</v>
      </c>
      <c r="D456" s="2" t="n">
        <v>5</v>
      </c>
      <c r="E456" s="2" t="s">
        <v>157</v>
      </c>
      <c r="F456" s="2" t="s">
        <v>22</v>
      </c>
      <c r="G456" s="2" t="s">
        <v>234</v>
      </c>
      <c r="H456" s="3" t="s">
        <v>736</v>
      </c>
      <c r="I456" s="2" t="s">
        <v>592</v>
      </c>
      <c r="J456" s="2" t="s">
        <v>640</v>
      </c>
      <c r="K456" s="3" t="s">
        <v>764</v>
      </c>
      <c r="L456" s="2" t="n">
        <f aca="false">MAX(1,ROUND(0.75*Inputs!$B$4*Inputs!$B$5^(B456-1)*INDEX(Inputs!$C$15:$C$23,MATCH("compiling",Inputs!$A$15:$A$23,0))*Inputs!$B$7*Inputs!$B$6^(D456-1)/Inputs!$B$12,0))</f>
        <v>90</v>
      </c>
      <c r="M456" s="2"/>
      <c r="N456" s="2"/>
      <c r="O456" s="2" t="s">
        <v>731</v>
      </c>
      <c r="P456" s="3"/>
      <c r="Q456" s="2" t="s">
        <v>735</v>
      </c>
      <c r="R456" s="2" t="n">
        <v>0.016667</v>
      </c>
      <c r="S456" s="2" t="s">
        <v>639</v>
      </c>
    </row>
    <row r="457" customFormat="false" ht="23.85" hidden="false" customHeight="false" outlineLevel="0" collapsed="false">
      <c r="A457" s="2" t="s">
        <v>728</v>
      </c>
      <c r="B457" s="2" t="n">
        <v>4</v>
      </c>
      <c r="C457" s="2" t="s">
        <v>146</v>
      </c>
      <c r="D457" s="2" t="n">
        <v>6</v>
      </c>
      <c r="E457" s="2" t="s">
        <v>159</v>
      </c>
      <c r="F457" s="2" t="s">
        <v>22</v>
      </c>
      <c r="G457" s="2" t="s">
        <v>436</v>
      </c>
      <c r="H457" s="3" t="s">
        <v>737</v>
      </c>
      <c r="I457" s="2" t="s">
        <v>343</v>
      </c>
      <c r="J457" s="2" t="s">
        <v>560</v>
      </c>
      <c r="K457" s="3" t="s">
        <v>764</v>
      </c>
      <c r="L457" s="2" t="n">
        <f aca="false">MAX(1,ROUND(0.75*Inputs!$B$4*Inputs!$B$5^(B457-1)*INDEX(Inputs!$C$15:$C$23,MATCH("compiling",Inputs!$A$15:$A$23,0))*Inputs!$B$7*Inputs!$B$6^(D457-1)/Inputs!$B$12,0))</f>
        <v>104</v>
      </c>
      <c r="M457" s="2"/>
      <c r="N457" s="2"/>
      <c r="O457" s="2" t="s">
        <v>731</v>
      </c>
      <c r="P457" s="3"/>
      <c r="Q457" s="2" t="s">
        <v>738</v>
      </c>
      <c r="R457" s="2" t="n">
        <v>0.016667</v>
      </c>
      <c r="S457" s="2" t="s">
        <v>551</v>
      </c>
    </row>
    <row r="458" customFormat="false" ht="15" hidden="false" customHeight="false" outlineLevel="0" collapsed="false">
      <c r="A458" s="2" t="s">
        <v>728</v>
      </c>
      <c r="B458" s="2" t="n">
        <v>4</v>
      </c>
      <c r="C458" s="2" t="s">
        <v>146</v>
      </c>
      <c r="D458" s="2" t="n">
        <v>7</v>
      </c>
      <c r="E458" s="2" t="s">
        <v>161</v>
      </c>
      <c r="F458" s="2" t="s">
        <v>22</v>
      </c>
      <c r="G458" s="2" t="s">
        <v>436</v>
      </c>
      <c r="H458" s="3" t="s">
        <v>525</v>
      </c>
      <c r="I458" s="2" t="s">
        <v>343</v>
      </c>
      <c r="J458" s="2" t="s">
        <v>561</v>
      </c>
      <c r="K458" s="3" t="s">
        <v>764</v>
      </c>
      <c r="L458" s="2" t="n">
        <f aca="false">MAX(1,ROUND(0.75*Inputs!$B$4*Inputs!$B$5^(B458-1)*INDEX(Inputs!$C$15:$C$23,MATCH("compiling",Inputs!$A$15:$A$23,0))*Inputs!$B$7*Inputs!$B$6^(D458-1)/Inputs!$B$12,0))</f>
        <v>119</v>
      </c>
      <c r="M458" s="2"/>
      <c r="N458" s="2"/>
      <c r="O458" s="2" t="s">
        <v>731</v>
      </c>
      <c r="P458" s="3"/>
      <c r="Q458" s="2" t="s">
        <v>738</v>
      </c>
      <c r="R458" s="2" t="n">
        <v>0.016667</v>
      </c>
      <c r="S458" s="2" t="s">
        <v>560</v>
      </c>
    </row>
    <row r="459" customFormat="false" ht="15" hidden="false" customHeight="false" outlineLevel="0" collapsed="false">
      <c r="A459" s="4" t="s">
        <v>728</v>
      </c>
      <c r="B459" s="4" t="n">
        <v>4</v>
      </c>
      <c r="C459" s="4" t="s">
        <v>146</v>
      </c>
      <c r="D459" s="4" t="n">
        <v>8</v>
      </c>
      <c r="E459" s="4" t="s">
        <v>163</v>
      </c>
      <c r="F459" s="4" t="s">
        <v>72</v>
      </c>
      <c r="G459" s="4" t="s">
        <v>739</v>
      </c>
      <c r="H459" s="5" t="s">
        <v>740</v>
      </c>
      <c r="I459" s="4" t="s">
        <v>741</v>
      </c>
      <c r="J459" s="4" t="s">
        <v>765</v>
      </c>
      <c r="K459" s="5" t="s">
        <v>764</v>
      </c>
      <c r="L459" s="4" t="n">
        <f aca="false">MAX(1,ROUND(0.75*Inputs!$B$4*Inputs!$B$5^(B459-1)*INDEX(Inputs!$C$15:$C$23,MATCH("compiling",Inputs!$A$15:$A$23,0))*Inputs!$B$7*Inputs!$B$6^(D459-1)/Inputs!$B$12,0))</f>
        <v>137</v>
      </c>
      <c r="M459" s="4"/>
      <c r="N459" s="4"/>
      <c r="O459" s="4" t="s">
        <v>731</v>
      </c>
      <c r="P459" s="5"/>
      <c r="Q459" s="4" t="s">
        <v>743</v>
      </c>
      <c r="R459" s="4" t="n">
        <v>0.025</v>
      </c>
      <c r="S459" s="4" t="s">
        <v>759</v>
      </c>
    </row>
    <row r="460" customFormat="false" ht="15" hidden="false" customHeight="false" outlineLevel="0" collapsed="false">
      <c r="A460" s="4" t="s">
        <v>728</v>
      </c>
      <c r="B460" s="4" t="n">
        <v>4</v>
      </c>
      <c r="C460" s="4" t="s">
        <v>146</v>
      </c>
      <c r="D460" s="4" t="n">
        <v>9</v>
      </c>
      <c r="E460" s="4" t="s">
        <v>165</v>
      </c>
      <c r="F460" s="4" t="s">
        <v>72</v>
      </c>
      <c r="G460" s="4" t="s">
        <v>745</v>
      </c>
      <c r="H460" s="5" t="s">
        <v>746</v>
      </c>
      <c r="I460" s="4" t="s">
        <v>605</v>
      </c>
      <c r="J460" s="4" t="s">
        <v>766</v>
      </c>
      <c r="K460" s="5" t="s">
        <v>764</v>
      </c>
      <c r="L460" s="4" t="n">
        <f aca="false">MAX(1,ROUND(0.75*Inputs!$B$4*Inputs!$B$5^(B460-1)*INDEX(Inputs!$C$15:$C$23,MATCH("compiling",Inputs!$A$15:$A$23,0))*Inputs!$B$7*Inputs!$B$6^(D460-1)/Inputs!$B$12,0))</f>
        <v>158</v>
      </c>
      <c r="M460" s="4"/>
      <c r="N460" s="4"/>
      <c r="O460" s="4" t="s">
        <v>731</v>
      </c>
      <c r="P460" s="5"/>
      <c r="Q460" s="4" t="s">
        <v>748</v>
      </c>
      <c r="R460" s="4" t="n">
        <v>0.05</v>
      </c>
      <c r="S460" s="4" t="s">
        <v>760</v>
      </c>
    </row>
    <row r="461" customFormat="false" ht="23.85" hidden="false" customHeight="false" outlineLevel="0" collapsed="false">
      <c r="A461" s="6" t="s">
        <v>728</v>
      </c>
      <c r="B461" s="6" t="n">
        <v>4</v>
      </c>
      <c r="C461" s="6" t="s">
        <v>146</v>
      </c>
      <c r="D461" s="6" t="n">
        <v>10</v>
      </c>
      <c r="E461" s="6" t="s">
        <v>167</v>
      </c>
      <c r="F461" s="6" t="s">
        <v>87</v>
      </c>
      <c r="G461" s="6" t="s">
        <v>767</v>
      </c>
      <c r="H461" s="7" t="s">
        <v>768</v>
      </c>
      <c r="I461" s="6" t="s">
        <v>90</v>
      </c>
      <c r="J461" s="6"/>
      <c r="K461" s="7" t="s">
        <v>764</v>
      </c>
      <c r="L461" s="6" t="n">
        <f aca="false">MAX(1,ROUND(0.75*Inputs!$B$4*Inputs!$B$5^(B461-1)*INDEX(Inputs!$C$15:$C$23,MATCH("compiling",Inputs!$A$15:$A$23,0))*Inputs!$B$7*Inputs!$B$6^(D461-1)/Inputs!$B$12,0))</f>
        <v>182</v>
      </c>
      <c r="M461" s="6" t="s">
        <v>401</v>
      </c>
      <c r="N461" s="6" t="n">
        <v>2</v>
      </c>
      <c r="O461" s="6" t="s">
        <v>731</v>
      </c>
      <c r="P461" s="7"/>
      <c r="Q461" s="6" t="s">
        <v>769</v>
      </c>
      <c r="R461" s="8" t="b">
        <f aca="false">TRUE()</f>
        <v>1</v>
      </c>
      <c r="S461" s="6" t="s">
        <v>93</v>
      </c>
    </row>
    <row r="462" customFormat="false" ht="23.85" hidden="false" customHeight="false" outlineLevel="0" collapsed="false">
      <c r="A462" s="2" t="s">
        <v>728</v>
      </c>
      <c r="B462" s="2" t="n">
        <v>5</v>
      </c>
      <c r="C462" s="2" t="s">
        <v>172</v>
      </c>
      <c r="D462" s="2" t="n">
        <v>1</v>
      </c>
      <c r="E462" s="2" t="s">
        <v>173</v>
      </c>
      <c r="F462" s="2" t="s">
        <v>22</v>
      </c>
      <c r="G462" s="2" t="s">
        <v>225</v>
      </c>
      <c r="H462" s="3" t="s">
        <v>729</v>
      </c>
      <c r="I462" s="2" t="s">
        <v>308</v>
      </c>
      <c r="J462" s="2" t="s">
        <v>309</v>
      </c>
      <c r="K462" s="3" t="s">
        <v>770</v>
      </c>
      <c r="L462" s="2" t="n">
        <f aca="false">MAX(1,ROUND(0.75*Inputs!$B$4*Inputs!$B$5^(B462-1)*INDEX(Inputs!$C$15:$C$23,MATCH("compiling",Inputs!$A$15:$A$23,0))*Inputs!$B$7*Inputs!$B$6^(D462-1)/Inputs!$B$12,0))</f>
        <v>57</v>
      </c>
      <c r="M462" s="2"/>
      <c r="N462" s="2"/>
      <c r="O462" s="2" t="s">
        <v>731</v>
      </c>
      <c r="P462" s="3"/>
      <c r="Q462" s="2" t="s">
        <v>732</v>
      </c>
      <c r="R462" s="2" t="n">
        <v>0.8438</v>
      </c>
      <c r="S462" s="2" t="s">
        <v>297</v>
      </c>
    </row>
    <row r="463" customFormat="false" ht="15" hidden="false" customHeight="false" outlineLevel="0" collapsed="false">
      <c r="A463" s="2" t="s">
        <v>728</v>
      </c>
      <c r="B463" s="2" t="n">
        <v>5</v>
      </c>
      <c r="C463" s="2" t="s">
        <v>172</v>
      </c>
      <c r="D463" s="2" t="n">
        <v>2</v>
      </c>
      <c r="E463" s="2" t="s">
        <v>177</v>
      </c>
      <c r="F463" s="2" t="s">
        <v>22</v>
      </c>
      <c r="G463" s="2" t="s">
        <v>225</v>
      </c>
      <c r="H463" s="3" t="s">
        <v>733</v>
      </c>
      <c r="I463" s="2" t="s">
        <v>308</v>
      </c>
      <c r="J463" s="2" t="s">
        <v>310</v>
      </c>
      <c r="K463" s="3" t="s">
        <v>770</v>
      </c>
      <c r="L463" s="2" t="n">
        <f aca="false">MAX(1,ROUND(0.75*Inputs!$B$4*Inputs!$B$5^(B463-1)*INDEX(Inputs!$C$15:$C$23,MATCH("compiling",Inputs!$A$15:$A$23,0))*Inputs!$B$7*Inputs!$B$6^(D463-1)/Inputs!$B$12,0))</f>
        <v>65</v>
      </c>
      <c r="M463" s="2"/>
      <c r="N463" s="2"/>
      <c r="O463" s="2" t="s">
        <v>731</v>
      </c>
      <c r="P463" s="3"/>
      <c r="Q463" s="2" t="s">
        <v>732</v>
      </c>
      <c r="R463" s="2" t="n">
        <v>0.8438</v>
      </c>
      <c r="S463" s="2" t="s">
        <v>309</v>
      </c>
    </row>
    <row r="464" customFormat="false" ht="15" hidden="false" customHeight="false" outlineLevel="0" collapsed="false">
      <c r="A464" s="2" t="s">
        <v>728</v>
      </c>
      <c r="B464" s="2" t="n">
        <v>5</v>
      </c>
      <c r="C464" s="2" t="s">
        <v>172</v>
      </c>
      <c r="D464" s="2" t="n">
        <v>3</v>
      </c>
      <c r="E464" s="2" t="s">
        <v>179</v>
      </c>
      <c r="F464" s="2" t="s">
        <v>22</v>
      </c>
      <c r="G464" s="2" t="s">
        <v>225</v>
      </c>
      <c r="H464" s="3" t="s">
        <v>733</v>
      </c>
      <c r="I464" s="2" t="s">
        <v>308</v>
      </c>
      <c r="J464" s="2" t="s">
        <v>311</v>
      </c>
      <c r="K464" s="3" t="s">
        <v>770</v>
      </c>
      <c r="L464" s="2" t="n">
        <f aca="false">MAX(1,ROUND(0.75*Inputs!$B$4*Inputs!$B$5^(B464-1)*INDEX(Inputs!$C$15:$C$23,MATCH("compiling",Inputs!$A$15:$A$23,0))*Inputs!$B$7*Inputs!$B$6^(D464-1)/Inputs!$B$12,0))</f>
        <v>75</v>
      </c>
      <c r="M464" s="2"/>
      <c r="N464" s="2"/>
      <c r="O464" s="2" t="s">
        <v>731</v>
      </c>
      <c r="P464" s="3"/>
      <c r="Q464" s="2" t="s">
        <v>732</v>
      </c>
      <c r="R464" s="2" t="n">
        <v>0.8438</v>
      </c>
      <c r="S464" s="2" t="s">
        <v>310</v>
      </c>
    </row>
    <row r="465" customFormat="false" ht="35.05" hidden="false" customHeight="false" outlineLevel="0" collapsed="false">
      <c r="A465" s="2" t="s">
        <v>728</v>
      </c>
      <c r="B465" s="2" t="n">
        <v>5</v>
      </c>
      <c r="C465" s="2" t="s">
        <v>172</v>
      </c>
      <c r="D465" s="2" t="n">
        <v>4</v>
      </c>
      <c r="E465" s="2" t="s">
        <v>181</v>
      </c>
      <c r="F465" s="2" t="s">
        <v>22</v>
      </c>
      <c r="G465" s="2" t="s">
        <v>234</v>
      </c>
      <c r="H465" s="3" t="s">
        <v>734</v>
      </c>
      <c r="I465" s="2" t="s">
        <v>592</v>
      </c>
      <c r="J465" s="2" t="s">
        <v>648</v>
      </c>
      <c r="K465" s="3" t="s">
        <v>770</v>
      </c>
      <c r="L465" s="2" t="n">
        <f aca="false">MAX(1,ROUND(0.75*Inputs!$B$4*Inputs!$B$5^(B465-1)*INDEX(Inputs!$C$15:$C$23,MATCH("compiling",Inputs!$A$15:$A$23,0))*Inputs!$B$7*Inputs!$B$6^(D465-1)/Inputs!$B$12,0))</f>
        <v>86</v>
      </c>
      <c r="M465" s="2"/>
      <c r="N465" s="2"/>
      <c r="O465" s="2" t="s">
        <v>731</v>
      </c>
      <c r="P465" s="3"/>
      <c r="Q465" s="2" t="s">
        <v>735</v>
      </c>
      <c r="R465" s="2" t="n">
        <v>0.016667</v>
      </c>
      <c r="S465" s="2" t="s">
        <v>640</v>
      </c>
    </row>
    <row r="466" customFormat="false" ht="15" hidden="false" customHeight="false" outlineLevel="0" collapsed="false">
      <c r="A466" s="2" t="s">
        <v>728</v>
      </c>
      <c r="B466" s="2" t="n">
        <v>5</v>
      </c>
      <c r="C466" s="2" t="s">
        <v>172</v>
      </c>
      <c r="D466" s="2" t="n">
        <v>5</v>
      </c>
      <c r="E466" s="2" t="s">
        <v>183</v>
      </c>
      <c r="F466" s="2" t="s">
        <v>22</v>
      </c>
      <c r="G466" s="2" t="s">
        <v>234</v>
      </c>
      <c r="H466" s="3" t="s">
        <v>736</v>
      </c>
      <c r="I466" s="2" t="s">
        <v>592</v>
      </c>
      <c r="J466" s="2" t="s">
        <v>649</v>
      </c>
      <c r="K466" s="3" t="s">
        <v>770</v>
      </c>
      <c r="L466" s="2" t="n">
        <f aca="false">MAX(1,ROUND(0.75*Inputs!$B$4*Inputs!$B$5^(B466-1)*INDEX(Inputs!$C$15:$C$23,MATCH("compiling",Inputs!$A$15:$A$23,0))*Inputs!$B$7*Inputs!$B$6^(D466-1)/Inputs!$B$12,0))</f>
        <v>99</v>
      </c>
      <c r="M466" s="2"/>
      <c r="N466" s="2"/>
      <c r="O466" s="2" t="s">
        <v>731</v>
      </c>
      <c r="P466" s="3"/>
      <c r="Q466" s="2" t="s">
        <v>735</v>
      </c>
      <c r="R466" s="2" t="n">
        <v>0.016667</v>
      </c>
      <c r="S466" s="2" t="s">
        <v>648</v>
      </c>
    </row>
    <row r="467" customFormat="false" ht="23.85" hidden="false" customHeight="false" outlineLevel="0" collapsed="false">
      <c r="A467" s="2" t="s">
        <v>728</v>
      </c>
      <c r="B467" s="2" t="n">
        <v>5</v>
      </c>
      <c r="C467" s="2" t="s">
        <v>172</v>
      </c>
      <c r="D467" s="2" t="n">
        <v>6</v>
      </c>
      <c r="E467" s="2" t="s">
        <v>185</v>
      </c>
      <c r="F467" s="2" t="s">
        <v>22</v>
      </c>
      <c r="G467" s="2" t="s">
        <v>436</v>
      </c>
      <c r="H467" s="3" t="s">
        <v>737</v>
      </c>
      <c r="I467" s="2" t="s">
        <v>343</v>
      </c>
      <c r="J467" s="2" t="s">
        <v>569</v>
      </c>
      <c r="K467" s="3" t="s">
        <v>770</v>
      </c>
      <c r="L467" s="2" t="n">
        <f aca="false">MAX(1,ROUND(0.75*Inputs!$B$4*Inputs!$B$5^(B467-1)*INDEX(Inputs!$C$15:$C$23,MATCH("compiling",Inputs!$A$15:$A$23,0))*Inputs!$B$7*Inputs!$B$6^(D467-1)/Inputs!$B$12,0))</f>
        <v>114</v>
      </c>
      <c r="M467" s="2"/>
      <c r="N467" s="2"/>
      <c r="O467" s="2" t="s">
        <v>731</v>
      </c>
      <c r="P467" s="3"/>
      <c r="Q467" s="2" t="s">
        <v>738</v>
      </c>
      <c r="R467" s="2" t="n">
        <v>0.016667</v>
      </c>
      <c r="S467" s="2" t="s">
        <v>561</v>
      </c>
    </row>
    <row r="468" customFormat="false" ht="15" hidden="false" customHeight="false" outlineLevel="0" collapsed="false">
      <c r="A468" s="2" t="s">
        <v>728</v>
      </c>
      <c r="B468" s="2" t="n">
        <v>5</v>
      </c>
      <c r="C468" s="2" t="s">
        <v>172</v>
      </c>
      <c r="D468" s="2" t="n">
        <v>7</v>
      </c>
      <c r="E468" s="2" t="s">
        <v>187</v>
      </c>
      <c r="F468" s="2" t="s">
        <v>22</v>
      </c>
      <c r="G468" s="2" t="s">
        <v>436</v>
      </c>
      <c r="H468" s="3" t="s">
        <v>525</v>
      </c>
      <c r="I468" s="2" t="s">
        <v>343</v>
      </c>
      <c r="J468" s="2" t="s">
        <v>570</v>
      </c>
      <c r="K468" s="3" t="s">
        <v>770</v>
      </c>
      <c r="L468" s="2" t="n">
        <f aca="false">MAX(1,ROUND(0.75*Inputs!$B$4*Inputs!$B$5^(B468-1)*INDEX(Inputs!$C$15:$C$23,MATCH("compiling",Inputs!$A$15:$A$23,0))*Inputs!$B$7*Inputs!$B$6^(D468-1)/Inputs!$B$12,0))</f>
        <v>131</v>
      </c>
      <c r="M468" s="2"/>
      <c r="N468" s="2"/>
      <c r="O468" s="2" t="s">
        <v>731</v>
      </c>
      <c r="P468" s="3"/>
      <c r="Q468" s="2" t="s">
        <v>738</v>
      </c>
      <c r="R468" s="2" t="n">
        <v>0.016667</v>
      </c>
      <c r="S468" s="2" t="s">
        <v>569</v>
      </c>
    </row>
    <row r="469" customFormat="false" ht="15" hidden="false" customHeight="false" outlineLevel="0" collapsed="false">
      <c r="A469" s="4" t="s">
        <v>728</v>
      </c>
      <c r="B469" s="4" t="n">
        <v>5</v>
      </c>
      <c r="C469" s="4" t="s">
        <v>172</v>
      </c>
      <c r="D469" s="4" t="n">
        <v>8</v>
      </c>
      <c r="E469" s="4" t="s">
        <v>189</v>
      </c>
      <c r="F469" s="4" t="s">
        <v>72</v>
      </c>
      <c r="G469" s="4" t="s">
        <v>739</v>
      </c>
      <c r="H469" s="5" t="s">
        <v>740</v>
      </c>
      <c r="I469" s="4" t="s">
        <v>741</v>
      </c>
      <c r="J469" s="4" t="s">
        <v>771</v>
      </c>
      <c r="K469" s="5" t="s">
        <v>770</v>
      </c>
      <c r="L469" s="4" t="n">
        <f aca="false">MAX(1,ROUND(0.75*Inputs!$B$4*Inputs!$B$5^(B469-1)*INDEX(Inputs!$C$15:$C$23,MATCH("compiling",Inputs!$A$15:$A$23,0))*Inputs!$B$7*Inputs!$B$6^(D469-1)/Inputs!$B$12,0))</f>
        <v>151</v>
      </c>
      <c r="M469" s="4"/>
      <c r="N469" s="4"/>
      <c r="O469" s="4" t="s">
        <v>731</v>
      </c>
      <c r="P469" s="5"/>
      <c r="Q469" s="4" t="s">
        <v>743</v>
      </c>
      <c r="R469" s="4" t="n">
        <v>0.025</v>
      </c>
      <c r="S469" s="4" t="s">
        <v>765</v>
      </c>
    </row>
    <row r="470" customFormat="false" ht="15" hidden="false" customHeight="false" outlineLevel="0" collapsed="false">
      <c r="A470" s="4" t="s">
        <v>728</v>
      </c>
      <c r="B470" s="4" t="n">
        <v>5</v>
      </c>
      <c r="C470" s="4" t="s">
        <v>172</v>
      </c>
      <c r="D470" s="4" t="n">
        <v>9</v>
      </c>
      <c r="E470" s="4" t="s">
        <v>191</v>
      </c>
      <c r="F470" s="4" t="s">
        <v>72</v>
      </c>
      <c r="G470" s="4" t="s">
        <v>745</v>
      </c>
      <c r="H470" s="5" t="s">
        <v>746</v>
      </c>
      <c r="I470" s="4" t="s">
        <v>605</v>
      </c>
      <c r="J470" s="4" t="s">
        <v>772</v>
      </c>
      <c r="K470" s="5" t="s">
        <v>770</v>
      </c>
      <c r="L470" s="4" t="n">
        <f aca="false">MAX(1,ROUND(0.75*Inputs!$B$4*Inputs!$B$5^(B470-1)*INDEX(Inputs!$C$15:$C$23,MATCH("compiling",Inputs!$A$15:$A$23,0))*Inputs!$B$7*Inputs!$B$6^(D470-1)/Inputs!$B$12,0))</f>
        <v>174</v>
      </c>
      <c r="M470" s="4"/>
      <c r="N470" s="4"/>
      <c r="O470" s="4" t="s">
        <v>731</v>
      </c>
      <c r="P470" s="5"/>
      <c r="Q470" s="4" t="s">
        <v>748</v>
      </c>
      <c r="R470" s="4" t="n">
        <v>0.05</v>
      </c>
      <c r="S470" s="4" t="s">
        <v>766</v>
      </c>
    </row>
    <row r="471" customFormat="false" ht="23.85" hidden="false" customHeight="false" outlineLevel="0" collapsed="false">
      <c r="A471" s="6" t="s">
        <v>728</v>
      </c>
      <c r="B471" s="6" t="n">
        <v>5</v>
      </c>
      <c r="C471" s="6" t="s">
        <v>172</v>
      </c>
      <c r="D471" s="6" t="n">
        <v>10</v>
      </c>
      <c r="E471" s="6" t="s">
        <v>193</v>
      </c>
      <c r="F471" s="6" t="s">
        <v>87</v>
      </c>
      <c r="G471" s="6" t="s">
        <v>318</v>
      </c>
      <c r="H471" s="7" t="s">
        <v>773</v>
      </c>
      <c r="I471" s="6" t="s">
        <v>90</v>
      </c>
      <c r="J471" s="6"/>
      <c r="K471" s="7" t="s">
        <v>770</v>
      </c>
      <c r="L471" s="6" t="n">
        <f aca="false">MAX(1,ROUND(0.75*Inputs!$B$4*Inputs!$B$5^(B471-1)*INDEX(Inputs!$C$15:$C$23,MATCH("compiling",Inputs!$A$15:$A$23,0))*Inputs!$B$7*Inputs!$B$6^(D471-1)/Inputs!$B$12,0))</f>
        <v>200</v>
      </c>
      <c r="M471" s="6" t="s">
        <v>411</v>
      </c>
      <c r="N471" s="6" t="n">
        <v>2</v>
      </c>
      <c r="O471" s="6" t="s">
        <v>731</v>
      </c>
      <c r="P471" s="7"/>
      <c r="Q471" s="6" t="s">
        <v>774</v>
      </c>
      <c r="R471" s="8" t="b">
        <f aca="false">TRUE()</f>
        <v>1</v>
      </c>
      <c r="S471" s="6" t="s">
        <v>93</v>
      </c>
    </row>
    <row r="472" customFormat="false" ht="23.85" hidden="false" customHeight="false" outlineLevel="0" collapsed="false">
      <c r="A472" s="2" t="s">
        <v>728</v>
      </c>
      <c r="B472" s="2" t="n">
        <v>6</v>
      </c>
      <c r="C472" s="2" t="s">
        <v>198</v>
      </c>
      <c r="D472" s="2" t="n">
        <v>1</v>
      </c>
      <c r="E472" s="2" t="s">
        <v>199</v>
      </c>
      <c r="F472" s="2" t="s">
        <v>22</v>
      </c>
      <c r="G472" s="2" t="s">
        <v>225</v>
      </c>
      <c r="H472" s="3" t="s">
        <v>729</v>
      </c>
      <c r="I472" s="2" t="s">
        <v>322</v>
      </c>
      <c r="J472" s="2" t="s">
        <v>323</v>
      </c>
      <c r="K472" s="3" t="s">
        <v>775</v>
      </c>
      <c r="L472" s="2" t="n">
        <f aca="false">MAX(1,ROUND(1*Inputs!$B$4*Inputs!$B$5^(B472-1)*INDEX(Inputs!$C$15:$C$23,MATCH("compiling",Inputs!$A$15:$A$23,0))*Inputs!$B$7*Inputs!$B$6^(D472-1)/Inputs!$B$12,0))</f>
        <v>83</v>
      </c>
      <c r="M472" s="2"/>
      <c r="N472" s="2"/>
      <c r="O472" s="2" t="s">
        <v>731</v>
      </c>
      <c r="P472" s="3"/>
      <c r="Q472" s="2" t="s">
        <v>732</v>
      </c>
      <c r="R472" s="2" t="n">
        <v>1.2656</v>
      </c>
      <c r="S472" s="2" t="s">
        <v>311</v>
      </c>
    </row>
    <row r="473" customFormat="false" ht="15" hidden="false" customHeight="false" outlineLevel="0" collapsed="false">
      <c r="A473" s="2" t="s">
        <v>728</v>
      </c>
      <c r="B473" s="2" t="n">
        <v>6</v>
      </c>
      <c r="C473" s="2" t="s">
        <v>198</v>
      </c>
      <c r="D473" s="2" t="n">
        <v>2</v>
      </c>
      <c r="E473" s="2" t="s">
        <v>203</v>
      </c>
      <c r="F473" s="2" t="s">
        <v>22</v>
      </c>
      <c r="G473" s="2" t="s">
        <v>225</v>
      </c>
      <c r="H473" s="3" t="s">
        <v>733</v>
      </c>
      <c r="I473" s="2" t="s">
        <v>322</v>
      </c>
      <c r="J473" s="2" t="s">
        <v>324</v>
      </c>
      <c r="K473" s="3" t="s">
        <v>775</v>
      </c>
      <c r="L473" s="2" t="n">
        <f aca="false">MAX(1,ROUND(1*Inputs!$B$4*Inputs!$B$5^(B473-1)*INDEX(Inputs!$C$15:$C$23,MATCH("compiling",Inputs!$A$15:$A$23,0))*Inputs!$B$7*Inputs!$B$6^(D473-1)/Inputs!$B$12,0))</f>
        <v>96</v>
      </c>
      <c r="M473" s="2"/>
      <c r="N473" s="2"/>
      <c r="O473" s="2" t="s">
        <v>731</v>
      </c>
      <c r="P473" s="3"/>
      <c r="Q473" s="2" t="s">
        <v>732</v>
      </c>
      <c r="R473" s="2" t="n">
        <v>1.2656</v>
      </c>
      <c r="S473" s="2" t="s">
        <v>323</v>
      </c>
    </row>
    <row r="474" customFormat="false" ht="15" hidden="false" customHeight="false" outlineLevel="0" collapsed="false">
      <c r="A474" s="2" t="s">
        <v>728</v>
      </c>
      <c r="B474" s="2" t="n">
        <v>6</v>
      </c>
      <c r="C474" s="2" t="s">
        <v>198</v>
      </c>
      <c r="D474" s="2" t="n">
        <v>3</v>
      </c>
      <c r="E474" s="2" t="s">
        <v>205</v>
      </c>
      <c r="F474" s="2" t="s">
        <v>22</v>
      </c>
      <c r="G474" s="2" t="s">
        <v>225</v>
      </c>
      <c r="H474" s="3" t="s">
        <v>733</v>
      </c>
      <c r="I474" s="2" t="s">
        <v>322</v>
      </c>
      <c r="J474" s="2" t="s">
        <v>325</v>
      </c>
      <c r="K474" s="3" t="s">
        <v>775</v>
      </c>
      <c r="L474" s="2" t="n">
        <f aca="false">MAX(1,ROUND(1*Inputs!$B$4*Inputs!$B$5^(B474-1)*INDEX(Inputs!$C$15:$C$23,MATCH("compiling",Inputs!$A$15:$A$23,0))*Inputs!$B$7*Inputs!$B$6^(D474-1)/Inputs!$B$12,0))</f>
        <v>110</v>
      </c>
      <c r="M474" s="2"/>
      <c r="N474" s="2"/>
      <c r="O474" s="2" t="s">
        <v>731</v>
      </c>
      <c r="P474" s="3"/>
      <c r="Q474" s="2" t="s">
        <v>732</v>
      </c>
      <c r="R474" s="2" t="n">
        <v>1.2656</v>
      </c>
      <c r="S474" s="2" t="s">
        <v>324</v>
      </c>
    </row>
    <row r="475" customFormat="false" ht="35.05" hidden="false" customHeight="false" outlineLevel="0" collapsed="false">
      <c r="A475" s="2" t="s">
        <v>728</v>
      </c>
      <c r="B475" s="2" t="n">
        <v>6</v>
      </c>
      <c r="C475" s="2" t="s">
        <v>198</v>
      </c>
      <c r="D475" s="2" t="n">
        <v>4</v>
      </c>
      <c r="E475" s="2" t="s">
        <v>207</v>
      </c>
      <c r="F475" s="2" t="s">
        <v>22</v>
      </c>
      <c r="G475" s="2" t="s">
        <v>234</v>
      </c>
      <c r="H475" s="3" t="s">
        <v>734</v>
      </c>
      <c r="I475" s="2" t="s">
        <v>592</v>
      </c>
      <c r="J475" s="2" t="s">
        <v>656</v>
      </c>
      <c r="K475" s="3" t="s">
        <v>775</v>
      </c>
      <c r="L475" s="2" t="n">
        <f aca="false">MAX(1,ROUND(1*Inputs!$B$4*Inputs!$B$5^(B475-1)*INDEX(Inputs!$C$15:$C$23,MATCH("compiling",Inputs!$A$15:$A$23,0))*Inputs!$B$7*Inputs!$B$6^(D475-1)/Inputs!$B$12,0))</f>
        <v>127</v>
      </c>
      <c r="M475" s="2"/>
      <c r="N475" s="2"/>
      <c r="O475" s="2" t="s">
        <v>731</v>
      </c>
      <c r="P475" s="3"/>
      <c r="Q475" s="2" t="s">
        <v>735</v>
      </c>
      <c r="R475" s="2" t="n">
        <v>0.016667</v>
      </c>
      <c r="S475" s="2" t="s">
        <v>649</v>
      </c>
    </row>
    <row r="476" customFormat="false" ht="15" hidden="false" customHeight="false" outlineLevel="0" collapsed="false">
      <c r="A476" s="2" t="s">
        <v>728</v>
      </c>
      <c r="B476" s="2" t="n">
        <v>6</v>
      </c>
      <c r="C476" s="2" t="s">
        <v>198</v>
      </c>
      <c r="D476" s="2" t="n">
        <v>5</v>
      </c>
      <c r="E476" s="2" t="s">
        <v>209</v>
      </c>
      <c r="F476" s="2" t="s">
        <v>22</v>
      </c>
      <c r="G476" s="2" t="s">
        <v>234</v>
      </c>
      <c r="H476" s="3" t="s">
        <v>736</v>
      </c>
      <c r="I476" s="2" t="s">
        <v>592</v>
      </c>
      <c r="J476" s="2" t="s">
        <v>657</v>
      </c>
      <c r="K476" s="3" t="s">
        <v>775</v>
      </c>
      <c r="L476" s="2" t="n">
        <f aca="false">MAX(1,ROUND(1*Inputs!$B$4*Inputs!$B$5^(B476-1)*INDEX(Inputs!$C$15:$C$23,MATCH("compiling",Inputs!$A$15:$A$23,0))*Inputs!$B$7*Inputs!$B$6^(D476-1)/Inputs!$B$12,0))</f>
        <v>146</v>
      </c>
      <c r="M476" s="2"/>
      <c r="N476" s="2"/>
      <c r="O476" s="2" t="s">
        <v>731</v>
      </c>
      <c r="P476" s="3"/>
      <c r="Q476" s="2" t="s">
        <v>735</v>
      </c>
      <c r="R476" s="2" t="n">
        <v>0.016667</v>
      </c>
      <c r="S476" s="2" t="s">
        <v>656</v>
      </c>
    </row>
    <row r="477" customFormat="false" ht="23.85" hidden="false" customHeight="false" outlineLevel="0" collapsed="false">
      <c r="A477" s="2" t="s">
        <v>728</v>
      </c>
      <c r="B477" s="2" t="n">
        <v>6</v>
      </c>
      <c r="C477" s="2" t="s">
        <v>198</v>
      </c>
      <c r="D477" s="2" t="n">
        <v>6</v>
      </c>
      <c r="E477" s="2" t="s">
        <v>211</v>
      </c>
      <c r="F477" s="2" t="s">
        <v>22</v>
      </c>
      <c r="G477" s="2" t="s">
        <v>436</v>
      </c>
      <c r="H477" s="3" t="s">
        <v>737</v>
      </c>
      <c r="I477" s="2" t="s">
        <v>343</v>
      </c>
      <c r="J477" s="2" t="s">
        <v>578</v>
      </c>
      <c r="K477" s="3" t="s">
        <v>775</v>
      </c>
      <c r="L477" s="2" t="n">
        <f aca="false">MAX(1,ROUND(1*Inputs!$B$4*Inputs!$B$5^(B477-1)*INDEX(Inputs!$C$15:$C$23,MATCH("compiling",Inputs!$A$15:$A$23,0))*Inputs!$B$7*Inputs!$B$6^(D477-1)/Inputs!$B$12,0))</f>
        <v>168</v>
      </c>
      <c r="M477" s="2"/>
      <c r="N477" s="2"/>
      <c r="O477" s="2" t="s">
        <v>731</v>
      </c>
      <c r="P477" s="3"/>
      <c r="Q477" s="2" t="s">
        <v>738</v>
      </c>
      <c r="R477" s="2" t="n">
        <v>0.016667</v>
      </c>
      <c r="S477" s="2" t="s">
        <v>570</v>
      </c>
    </row>
    <row r="478" customFormat="false" ht="15" hidden="false" customHeight="false" outlineLevel="0" collapsed="false">
      <c r="A478" s="2" t="s">
        <v>728</v>
      </c>
      <c r="B478" s="2" t="n">
        <v>6</v>
      </c>
      <c r="C478" s="2" t="s">
        <v>198</v>
      </c>
      <c r="D478" s="2" t="n">
        <v>7</v>
      </c>
      <c r="E478" s="2" t="s">
        <v>213</v>
      </c>
      <c r="F478" s="2" t="s">
        <v>22</v>
      </c>
      <c r="G478" s="2" t="s">
        <v>436</v>
      </c>
      <c r="H478" s="3" t="s">
        <v>525</v>
      </c>
      <c r="I478" s="2" t="s">
        <v>343</v>
      </c>
      <c r="J478" s="2" t="s">
        <v>579</v>
      </c>
      <c r="K478" s="3" t="s">
        <v>775</v>
      </c>
      <c r="L478" s="2" t="n">
        <f aca="false">MAX(1,ROUND(1*Inputs!$B$4*Inputs!$B$5^(B478-1)*INDEX(Inputs!$C$15:$C$23,MATCH("compiling",Inputs!$A$15:$A$23,0))*Inputs!$B$7*Inputs!$B$6^(D478-1)/Inputs!$B$12,0))</f>
        <v>193</v>
      </c>
      <c r="M478" s="2"/>
      <c r="N478" s="2"/>
      <c r="O478" s="2" t="s">
        <v>731</v>
      </c>
      <c r="P478" s="3"/>
      <c r="Q478" s="2" t="s">
        <v>738</v>
      </c>
      <c r="R478" s="2" t="n">
        <v>0.016667</v>
      </c>
      <c r="S478" s="2" t="s">
        <v>578</v>
      </c>
    </row>
    <row r="479" customFormat="false" ht="15" hidden="false" customHeight="false" outlineLevel="0" collapsed="false">
      <c r="A479" s="4" t="s">
        <v>728</v>
      </c>
      <c r="B479" s="4" t="n">
        <v>6</v>
      </c>
      <c r="C479" s="4" t="s">
        <v>198</v>
      </c>
      <c r="D479" s="4" t="n">
        <v>8</v>
      </c>
      <c r="E479" s="4" t="s">
        <v>215</v>
      </c>
      <c r="F479" s="4" t="s">
        <v>72</v>
      </c>
      <c r="G479" s="4" t="s">
        <v>739</v>
      </c>
      <c r="H479" s="5" t="s">
        <v>740</v>
      </c>
      <c r="I479" s="4" t="s">
        <v>741</v>
      </c>
      <c r="J479" s="4" t="s">
        <v>776</v>
      </c>
      <c r="K479" s="5" t="s">
        <v>775</v>
      </c>
      <c r="L479" s="4" t="n">
        <f aca="false">MAX(1,ROUND(1*Inputs!$B$4*Inputs!$B$5^(B479-1)*INDEX(Inputs!$C$15:$C$23,MATCH("compiling",Inputs!$A$15:$A$23,0))*Inputs!$B$7*Inputs!$B$6^(D479-1)/Inputs!$B$12,0))</f>
        <v>222</v>
      </c>
      <c r="M479" s="4"/>
      <c r="N479" s="4"/>
      <c r="O479" s="4" t="s">
        <v>731</v>
      </c>
      <c r="P479" s="5"/>
      <c r="Q479" s="4" t="s">
        <v>743</v>
      </c>
      <c r="R479" s="4" t="n">
        <v>0.025</v>
      </c>
      <c r="S479" s="4" t="s">
        <v>771</v>
      </c>
    </row>
    <row r="480" customFormat="false" ht="15" hidden="false" customHeight="false" outlineLevel="0" collapsed="false">
      <c r="A480" s="4" t="s">
        <v>728</v>
      </c>
      <c r="B480" s="4" t="n">
        <v>6</v>
      </c>
      <c r="C480" s="4" t="s">
        <v>198</v>
      </c>
      <c r="D480" s="4" t="n">
        <v>9</v>
      </c>
      <c r="E480" s="4" t="s">
        <v>217</v>
      </c>
      <c r="F480" s="4" t="s">
        <v>72</v>
      </c>
      <c r="G480" s="4" t="s">
        <v>745</v>
      </c>
      <c r="H480" s="5" t="s">
        <v>746</v>
      </c>
      <c r="I480" s="4" t="s">
        <v>605</v>
      </c>
      <c r="J480" s="4" t="s">
        <v>777</v>
      </c>
      <c r="K480" s="5" t="s">
        <v>775</v>
      </c>
      <c r="L480" s="4" t="n">
        <f aca="false">MAX(1,ROUND(1*Inputs!$B$4*Inputs!$B$5^(B480-1)*INDEX(Inputs!$C$15:$C$23,MATCH("compiling",Inputs!$A$15:$A$23,0))*Inputs!$B$7*Inputs!$B$6^(D480-1)/Inputs!$B$12,0))</f>
        <v>255</v>
      </c>
      <c r="M480" s="4"/>
      <c r="N480" s="4"/>
      <c r="O480" s="4" t="s">
        <v>731</v>
      </c>
      <c r="P480" s="5"/>
      <c r="Q480" s="4" t="s">
        <v>748</v>
      </c>
      <c r="R480" s="4" t="n">
        <v>0.05</v>
      </c>
      <c r="S480" s="4" t="s">
        <v>772</v>
      </c>
    </row>
    <row r="481" customFormat="false" ht="23.85" hidden="false" customHeight="false" outlineLevel="0" collapsed="false">
      <c r="A481" s="6" t="s">
        <v>728</v>
      </c>
      <c r="B481" s="6" t="n">
        <v>6</v>
      </c>
      <c r="C481" s="6" t="s">
        <v>198</v>
      </c>
      <c r="D481" s="6" t="n">
        <v>10</v>
      </c>
      <c r="E481" s="6" t="s">
        <v>219</v>
      </c>
      <c r="F481" s="6" t="s">
        <v>87</v>
      </c>
      <c r="G481" s="6" t="s">
        <v>778</v>
      </c>
      <c r="H481" s="7" t="s">
        <v>779</v>
      </c>
      <c r="I481" s="6" t="s">
        <v>90</v>
      </c>
      <c r="J481" s="6"/>
      <c r="K481" s="7" t="s">
        <v>775</v>
      </c>
      <c r="L481" s="6" t="n">
        <f aca="false">MAX(1,ROUND(1*Inputs!$B$4*Inputs!$B$5^(B481-1)*INDEX(Inputs!$C$15:$C$23,MATCH("compiling",Inputs!$A$15:$A$23,0))*Inputs!$B$7*Inputs!$B$6^(D481-1)/Inputs!$B$12,0))</f>
        <v>293</v>
      </c>
      <c r="M481" s="6" t="s">
        <v>422</v>
      </c>
      <c r="N481" s="6" t="n">
        <v>2</v>
      </c>
      <c r="O481" s="6" t="s">
        <v>731</v>
      </c>
      <c r="P481" s="7"/>
      <c r="Q481" s="6" t="s">
        <v>780</v>
      </c>
      <c r="R481" s="8" t="b">
        <f aca="false">TRUE()</f>
        <v>1</v>
      </c>
      <c r="S481" s="6" t="s">
        <v>93</v>
      </c>
    </row>
    <row r="482" customFormat="false" ht="23.85" hidden="false" customHeight="false" outlineLevel="0" collapsed="false">
      <c r="A482" s="2" t="s">
        <v>781</v>
      </c>
      <c r="B482" s="2" t="n">
        <v>1</v>
      </c>
      <c r="C482" s="2" t="s">
        <v>20</v>
      </c>
      <c r="D482" s="2" t="n">
        <v>1</v>
      </c>
      <c r="E482" s="2" t="s">
        <v>21</v>
      </c>
      <c r="F482" s="2" t="s">
        <v>22</v>
      </c>
      <c r="G482" s="2" t="s">
        <v>782</v>
      </c>
      <c r="H482" s="3" t="s">
        <v>783</v>
      </c>
      <c r="I482" s="2" t="s">
        <v>784</v>
      </c>
      <c r="J482" s="2" t="s">
        <v>785</v>
      </c>
      <c r="K482" s="3" t="s">
        <v>786</v>
      </c>
      <c r="L482" s="2" t="n">
        <f aca="false">MAX(1,ROUND(10*Inputs!$B$6^(D482-1)/Inputs!$B$12,0))</f>
        <v>1</v>
      </c>
      <c r="M482" s="2"/>
      <c r="N482" s="2"/>
      <c r="O482" s="2" t="s">
        <v>787</v>
      </c>
      <c r="P482" s="3"/>
      <c r="Q482" s="2" t="s">
        <v>788</v>
      </c>
      <c r="R482" s="2" t="n">
        <v>5</v>
      </c>
      <c r="S482" s="2" t="s">
        <v>789</v>
      </c>
    </row>
    <row r="483" customFormat="false" ht="15" hidden="false" customHeight="false" outlineLevel="0" collapsed="false">
      <c r="A483" s="2" t="s">
        <v>781</v>
      </c>
      <c r="B483" s="2" t="n">
        <v>1</v>
      </c>
      <c r="C483" s="2" t="s">
        <v>20</v>
      </c>
      <c r="D483" s="2" t="n">
        <v>2</v>
      </c>
      <c r="E483" s="2" t="s">
        <v>31</v>
      </c>
      <c r="F483" s="2" t="s">
        <v>22</v>
      </c>
      <c r="G483" s="2" t="s">
        <v>790</v>
      </c>
      <c r="H483" s="3" t="s">
        <v>791</v>
      </c>
      <c r="I483" s="2" t="s">
        <v>792</v>
      </c>
      <c r="J483" s="2" t="s">
        <v>793</v>
      </c>
      <c r="K483" s="3" t="s">
        <v>786</v>
      </c>
      <c r="L483" s="2" t="n">
        <f aca="false">MAX(1,ROUND(10*Inputs!$B$6^(D483-1)/Inputs!$B$12,0))</f>
        <v>1</v>
      </c>
      <c r="M483" s="2"/>
      <c r="N483" s="2"/>
      <c r="O483" s="2" t="s">
        <v>787</v>
      </c>
      <c r="P483" s="3"/>
      <c r="Q483" s="2" t="s">
        <v>794</v>
      </c>
      <c r="R483" s="2" t="n">
        <v>2</v>
      </c>
      <c r="S483" s="2" t="s">
        <v>795</v>
      </c>
    </row>
    <row r="484" customFormat="false" ht="15" hidden="false" customHeight="false" outlineLevel="0" collapsed="false">
      <c r="A484" s="2" t="s">
        <v>781</v>
      </c>
      <c r="B484" s="2" t="n">
        <v>1</v>
      </c>
      <c r="C484" s="2" t="s">
        <v>20</v>
      </c>
      <c r="D484" s="2" t="n">
        <v>3</v>
      </c>
      <c r="E484" s="2" t="s">
        <v>38</v>
      </c>
      <c r="F484" s="2" t="s">
        <v>22</v>
      </c>
      <c r="G484" s="2" t="s">
        <v>796</v>
      </c>
      <c r="H484" s="3" t="s">
        <v>797</v>
      </c>
      <c r="I484" s="2" t="s">
        <v>798</v>
      </c>
      <c r="J484" s="2" t="s">
        <v>799</v>
      </c>
      <c r="K484" s="3" t="s">
        <v>800</v>
      </c>
      <c r="L484" s="2" t="n">
        <f aca="false">MAX(1,ROUND(10*Inputs!$B$6^(D484-1)/Inputs!$B$12,0))</f>
        <v>1</v>
      </c>
      <c r="M484" s="2"/>
      <c r="N484" s="2"/>
      <c r="O484" s="2" t="s">
        <v>787</v>
      </c>
      <c r="P484" s="3"/>
      <c r="Q484" s="2" t="s">
        <v>801</v>
      </c>
      <c r="R484" s="2" t="n">
        <v>0.5</v>
      </c>
      <c r="S484" s="2" t="s">
        <v>802</v>
      </c>
    </row>
    <row r="485" customFormat="false" ht="15" hidden="false" customHeight="false" outlineLevel="0" collapsed="false">
      <c r="A485" s="2" t="s">
        <v>781</v>
      </c>
      <c r="B485" s="2" t="n">
        <v>1</v>
      </c>
      <c r="C485" s="2" t="s">
        <v>20</v>
      </c>
      <c r="D485" s="2" t="n">
        <v>4</v>
      </c>
      <c r="E485" s="2" t="s">
        <v>47</v>
      </c>
      <c r="F485" s="2" t="s">
        <v>22</v>
      </c>
      <c r="G485" s="2" t="s">
        <v>796</v>
      </c>
      <c r="H485" s="3" t="s">
        <v>797</v>
      </c>
      <c r="I485" s="2" t="s">
        <v>798</v>
      </c>
      <c r="J485" s="2" t="s">
        <v>803</v>
      </c>
      <c r="K485" s="3" t="s">
        <v>800</v>
      </c>
      <c r="L485" s="2" t="n">
        <f aca="false">MAX(1,ROUND(10*Inputs!$B$6^(D485-1)/Inputs!$B$12,0))</f>
        <v>1</v>
      </c>
      <c r="M485" s="2"/>
      <c r="N485" s="2"/>
      <c r="O485" s="2" t="s">
        <v>787</v>
      </c>
      <c r="P485" s="3"/>
      <c r="Q485" s="2" t="s">
        <v>801</v>
      </c>
      <c r="R485" s="2" t="n">
        <v>0.5</v>
      </c>
      <c r="S485" s="2" t="s">
        <v>799</v>
      </c>
    </row>
    <row r="486" customFormat="false" ht="15" hidden="false" customHeight="false" outlineLevel="0" collapsed="false">
      <c r="A486" s="2" t="s">
        <v>781</v>
      </c>
      <c r="B486" s="2" t="n">
        <v>1</v>
      </c>
      <c r="C486" s="2" t="s">
        <v>20</v>
      </c>
      <c r="D486" s="2" t="n">
        <v>5</v>
      </c>
      <c r="E486" s="2" t="s">
        <v>54</v>
      </c>
      <c r="F486" s="2" t="s">
        <v>22</v>
      </c>
      <c r="G486" s="2" t="s">
        <v>804</v>
      </c>
      <c r="H486" s="3" t="s">
        <v>805</v>
      </c>
      <c r="I486" s="2" t="s">
        <v>806</v>
      </c>
      <c r="J486" s="2" t="s">
        <v>807</v>
      </c>
      <c r="K486" s="3" t="s">
        <v>808</v>
      </c>
      <c r="L486" s="2" t="n">
        <f aca="false">MAX(1,ROUND(10*Inputs!$B$6^(D486-1)/Inputs!$B$12,0))</f>
        <v>1</v>
      </c>
      <c r="M486" s="2"/>
      <c r="N486" s="2"/>
      <c r="O486" s="2" t="s">
        <v>787</v>
      </c>
      <c r="P486" s="3"/>
      <c r="Q486" s="2" t="s">
        <v>809</v>
      </c>
      <c r="R486" s="2" t="n">
        <v>5</v>
      </c>
      <c r="S486" s="2" t="s">
        <v>810</v>
      </c>
    </row>
    <row r="487" customFormat="false" ht="35.05" hidden="false" customHeight="false" outlineLevel="0" collapsed="false">
      <c r="A487" s="2" t="s">
        <v>781</v>
      </c>
      <c r="B487" s="2" t="n">
        <v>1</v>
      </c>
      <c r="C487" s="2" t="s">
        <v>20</v>
      </c>
      <c r="D487" s="2" t="n">
        <v>6</v>
      </c>
      <c r="E487" s="2" t="s">
        <v>57</v>
      </c>
      <c r="F487" s="2" t="s">
        <v>22</v>
      </c>
      <c r="G487" s="2" t="s">
        <v>811</v>
      </c>
      <c r="H487" s="3" t="s">
        <v>812</v>
      </c>
      <c r="I487" s="2" t="s">
        <v>813</v>
      </c>
      <c r="J487" s="2" t="s">
        <v>814</v>
      </c>
      <c r="K487" s="3" t="s">
        <v>808</v>
      </c>
      <c r="L487" s="2" t="n">
        <f aca="false">MAX(1,ROUND(10*Inputs!$B$6^(D487-1)/Inputs!$B$12,0))</f>
        <v>1</v>
      </c>
      <c r="M487" s="2"/>
      <c r="N487" s="2"/>
      <c r="O487" s="2" t="s">
        <v>787</v>
      </c>
      <c r="P487" s="3"/>
      <c r="Q487" s="2" t="s">
        <v>815</v>
      </c>
      <c r="R487" s="2" t="n">
        <v>0.01</v>
      </c>
      <c r="S487" s="2" t="s">
        <v>816</v>
      </c>
    </row>
    <row r="488" customFormat="false" ht="15" hidden="false" customHeight="false" outlineLevel="0" collapsed="false">
      <c r="A488" s="4" t="s">
        <v>781</v>
      </c>
      <c r="B488" s="4" t="n">
        <v>1</v>
      </c>
      <c r="C488" s="4" t="s">
        <v>20</v>
      </c>
      <c r="D488" s="4" t="n">
        <v>7</v>
      </c>
      <c r="E488" s="4" t="s">
        <v>64</v>
      </c>
      <c r="F488" s="4" t="s">
        <v>72</v>
      </c>
      <c r="G488" s="4" t="s">
        <v>817</v>
      </c>
      <c r="H488" s="5" t="s">
        <v>818</v>
      </c>
      <c r="I488" s="4" t="s">
        <v>819</v>
      </c>
      <c r="J488" s="4" t="s">
        <v>820</v>
      </c>
      <c r="K488" s="5" t="s">
        <v>821</v>
      </c>
      <c r="L488" s="4" t="n">
        <f aca="false">MAX(1,ROUND(10*Inputs!$B$6^(D488-1)/Inputs!$B$12,0))</f>
        <v>1</v>
      </c>
      <c r="M488" s="4"/>
      <c r="N488" s="4"/>
      <c r="O488" s="4" t="s">
        <v>787</v>
      </c>
      <c r="P488" s="5"/>
      <c r="Q488" s="4" t="s">
        <v>822</v>
      </c>
      <c r="R488" s="4" t="n">
        <v>1</v>
      </c>
      <c r="S488" s="4" t="s">
        <v>823</v>
      </c>
    </row>
    <row r="489" customFormat="false" ht="23.85" hidden="false" customHeight="false" outlineLevel="0" collapsed="false">
      <c r="A489" s="4" t="s">
        <v>781</v>
      </c>
      <c r="B489" s="4" t="n">
        <v>1</v>
      </c>
      <c r="C489" s="4" t="s">
        <v>20</v>
      </c>
      <c r="D489" s="4" t="n">
        <v>8</v>
      </c>
      <c r="E489" s="4" t="s">
        <v>71</v>
      </c>
      <c r="F489" s="4" t="s">
        <v>72</v>
      </c>
      <c r="G489" s="4" t="s">
        <v>824</v>
      </c>
      <c r="H489" s="5" t="s">
        <v>825</v>
      </c>
      <c r="I489" s="4" t="s">
        <v>363</v>
      </c>
      <c r="J489" s="4" t="s">
        <v>826</v>
      </c>
      <c r="K489" s="5" t="s">
        <v>821</v>
      </c>
      <c r="L489" s="4" t="n">
        <f aca="false">MAX(1,ROUND(10*Inputs!$B$6^(D489-1)/Inputs!$B$12,0))</f>
        <v>1</v>
      </c>
      <c r="M489" s="4"/>
      <c r="N489" s="4"/>
      <c r="O489" s="4" t="s">
        <v>787</v>
      </c>
      <c r="P489" s="5"/>
      <c r="Q489" s="4" t="s">
        <v>827</v>
      </c>
      <c r="R489" s="4" t="n">
        <v>0.1</v>
      </c>
      <c r="S489" s="4" t="s">
        <v>828</v>
      </c>
    </row>
    <row r="490" customFormat="false" ht="15" hidden="false" customHeight="false" outlineLevel="0" collapsed="false">
      <c r="A490" s="4" t="s">
        <v>781</v>
      </c>
      <c r="B490" s="4" t="n">
        <v>1</v>
      </c>
      <c r="C490" s="4" t="s">
        <v>20</v>
      </c>
      <c r="D490" s="4" t="n">
        <v>9</v>
      </c>
      <c r="E490" s="4" t="s">
        <v>79</v>
      </c>
      <c r="F490" s="4" t="s">
        <v>72</v>
      </c>
      <c r="G490" s="4" t="s">
        <v>829</v>
      </c>
      <c r="H490" s="5" t="s">
        <v>830</v>
      </c>
      <c r="I490" s="4" t="s">
        <v>831</v>
      </c>
      <c r="J490" s="4" t="s">
        <v>832</v>
      </c>
      <c r="K490" s="5" t="s">
        <v>833</v>
      </c>
      <c r="L490" s="4" t="n">
        <f aca="false">MAX(1,ROUND(10*Inputs!$B$6^(D490-1)/Inputs!$B$12,0))</f>
        <v>2</v>
      </c>
      <c r="M490" s="4"/>
      <c r="N490" s="4"/>
      <c r="O490" s="4" t="s">
        <v>787</v>
      </c>
      <c r="P490" s="5"/>
      <c r="Q490" s="4" t="s">
        <v>834</v>
      </c>
      <c r="R490" s="4" t="n">
        <v>0.1</v>
      </c>
      <c r="S490" s="4" t="s">
        <v>835</v>
      </c>
    </row>
    <row r="491" customFormat="false" ht="35.05" hidden="false" customHeight="false" outlineLevel="0" collapsed="false">
      <c r="A491" s="6" t="s">
        <v>781</v>
      </c>
      <c r="B491" s="6" t="n">
        <v>1</v>
      </c>
      <c r="C491" s="6" t="s">
        <v>20</v>
      </c>
      <c r="D491" s="6" t="n">
        <v>10</v>
      </c>
      <c r="E491" s="6" t="s">
        <v>86</v>
      </c>
      <c r="F491" s="6" t="s">
        <v>87</v>
      </c>
      <c r="G491" s="6" t="s">
        <v>836</v>
      </c>
      <c r="H491" s="7" t="s">
        <v>837</v>
      </c>
      <c r="I491" s="6" t="s">
        <v>90</v>
      </c>
      <c r="J491" s="6"/>
      <c r="K491" s="7" t="s">
        <v>833</v>
      </c>
      <c r="L491" s="6" t="n">
        <f aca="false">MAX(1,ROUND(10*Inputs!$B$6^(D491-1)/Inputs!$B$12,0))</f>
        <v>2</v>
      </c>
      <c r="M491" s="6" t="s">
        <v>454</v>
      </c>
      <c r="N491" s="6" t="n">
        <v>1</v>
      </c>
      <c r="O491" s="6" t="s">
        <v>787</v>
      </c>
      <c r="P491" s="7"/>
      <c r="Q491" s="6" t="s">
        <v>838</v>
      </c>
      <c r="R491" s="8" t="b">
        <f aca="false">TRUE()</f>
        <v>1</v>
      </c>
      <c r="S491" s="6" t="s">
        <v>93</v>
      </c>
    </row>
    <row r="492" customFormat="false" ht="23.85" hidden="false" customHeight="false" outlineLevel="0" collapsed="false">
      <c r="A492" s="2" t="s">
        <v>781</v>
      </c>
      <c r="B492" s="2" t="n">
        <v>2</v>
      </c>
      <c r="C492" s="2" t="s">
        <v>94</v>
      </c>
      <c r="D492" s="2" t="n">
        <v>1</v>
      </c>
      <c r="E492" s="2" t="s">
        <v>95</v>
      </c>
      <c r="F492" s="2" t="s">
        <v>22</v>
      </c>
      <c r="G492" s="2" t="s">
        <v>782</v>
      </c>
      <c r="H492" s="3" t="s">
        <v>783</v>
      </c>
      <c r="I492" s="2" t="s">
        <v>839</v>
      </c>
      <c r="J492" s="2" t="s">
        <v>840</v>
      </c>
      <c r="K492" s="3" t="s">
        <v>841</v>
      </c>
      <c r="L492" s="2" t="n">
        <f aca="false">MAX(1,ROUND(15*Inputs!$B$6^(D492-1)/Inputs!$B$12,0))</f>
        <v>1</v>
      </c>
      <c r="M492" s="2"/>
      <c r="N492" s="2"/>
      <c r="O492" s="2" t="s">
        <v>787</v>
      </c>
      <c r="P492" s="3"/>
      <c r="Q492" s="2" t="s">
        <v>788</v>
      </c>
      <c r="R492" s="2" t="n">
        <v>25</v>
      </c>
      <c r="S492" s="2" t="s">
        <v>785</v>
      </c>
    </row>
    <row r="493" customFormat="false" ht="15" hidden="false" customHeight="false" outlineLevel="0" collapsed="false">
      <c r="A493" s="2" t="s">
        <v>781</v>
      </c>
      <c r="B493" s="2" t="n">
        <v>2</v>
      </c>
      <c r="C493" s="2" t="s">
        <v>94</v>
      </c>
      <c r="D493" s="2" t="n">
        <v>2</v>
      </c>
      <c r="E493" s="2" t="s">
        <v>99</v>
      </c>
      <c r="F493" s="2" t="s">
        <v>22</v>
      </c>
      <c r="G493" s="2" t="s">
        <v>790</v>
      </c>
      <c r="H493" s="3" t="s">
        <v>791</v>
      </c>
      <c r="I493" s="2" t="s">
        <v>842</v>
      </c>
      <c r="J493" s="2" t="s">
        <v>843</v>
      </c>
      <c r="K493" s="3" t="s">
        <v>841</v>
      </c>
      <c r="L493" s="2" t="n">
        <f aca="false">MAX(1,ROUND(15*Inputs!$B$6^(D493-1)/Inputs!$B$12,0))</f>
        <v>1</v>
      </c>
      <c r="M493" s="2"/>
      <c r="N493" s="2"/>
      <c r="O493" s="2" t="s">
        <v>787</v>
      </c>
      <c r="P493" s="3"/>
      <c r="Q493" s="2" t="s">
        <v>794</v>
      </c>
      <c r="R493" s="2" t="n">
        <v>3</v>
      </c>
      <c r="S493" s="2" t="s">
        <v>793</v>
      </c>
    </row>
    <row r="494" customFormat="false" ht="15" hidden="false" customHeight="false" outlineLevel="0" collapsed="false">
      <c r="A494" s="2" t="s">
        <v>781</v>
      </c>
      <c r="B494" s="2" t="n">
        <v>2</v>
      </c>
      <c r="C494" s="2" t="s">
        <v>94</v>
      </c>
      <c r="D494" s="2" t="n">
        <v>3</v>
      </c>
      <c r="E494" s="2" t="s">
        <v>101</v>
      </c>
      <c r="F494" s="2" t="s">
        <v>22</v>
      </c>
      <c r="G494" s="2" t="s">
        <v>796</v>
      </c>
      <c r="H494" s="3" t="s">
        <v>797</v>
      </c>
      <c r="I494" s="2" t="s">
        <v>798</v>
      </c>
      <c r="J494" s="2" t="s">
        <v>844</v>
      </c>
      <c r="K494" s="3" t="s">
        <v>845</v>
      </c>
      <c r="L494" s="2" t="n">
        <f aca="false">MAX(1,ROUND(15*Inputs!$B$6^(D494-1)/Inputs!$B$12,0))</f>
        <v>1</v>
      </c>
      <c r="M494" s="2"/>
      <c r="N494" s="2"/>
      <c r="O494" s="2" t="s">
        <v>787</v>
      </c>
      <c r="P494" s="3"/>
      <c r="Q494" s="2" t="s">
        <v>801</v>
      </c>
      <c r="R494" s="2" t="n">
        <v>0.5</v>
      </c>
      <c r="S494" s="2" t="s">
        <v>803</v>
      </c>
    </row>
    <row r="495" customFormat="false" ht="15" hidden="false" customHeight="false" outlineLevel="0" collapsed="false">
      <c r="A495" s="2" t="s">
        <v>781</v>
      </c>
      <c r="B495" s="2" t="n">
        <v>2</v>
      </c>
      <c r="C495" s="2" t="s">
        <v>94</v>
      </c>
      <c r="D495" s="2" t="n">
        <v>4</v>
      </c>
      <c r="E495" s="2" t="s">
        <v>103</v>
      </c>
      <c r="F495" s="2" t="s">
        <v>22</v>
      </c>
      <c r="G495" s="2" t="s">
        <v>796</v>
      </c>
      <c r="H495" s="3" t="s">
        <v>797</v>
      </c>
      <c r="I495" s="2" t="s">
        <v>798</v>
      </c>
      <c r="J495" s="2" t="s">
        <v>846</v>
      </c>
      <c r="K495" s="3" t="s">
        <v>845</v>
      </c>
      <c r="L495" s="2" t="n">
        <f aca="false">MAX(1,ROUND(15*Inputs!$B$6^(D495-1)/Inputs!$B$12,0))</f>
        <v>1</v>
      </c>
      <c r="M495" s="2"/>
      <c r="N495" s="2"/>
      <c r="O495" s="2" t="s">
        <v>787</v>
      </c>
      <c r="P495" s="3"/>
      <c r="Q495" s="2" t="s">
        <v>801</v>
      </c>
      <c r="R495" s="2" t="n">
        <v>0.5</v>
      </c>
      <c r="S495" s="2" t="s">
        <v>844</v>
      </c>
    </row>
    <row r="496" customFormat="false" ht="15" hidden="false" customHeight="false" outlineLevel="0" collapsed="false">
      <c r="A496" s="2" t="s">
        <v>781</v>
      </c>
      <c r="B496" s="2" t="n">
        <v>2</v>
      </c>
      <c r="C496" s="2" t="s">
        <v>94</v>
      </c>
      <c r="D496" s="2" t="n">
        <v>5</v>
      </c>
      <c r="E496" s="2" t="s">
        <v>105</v>
      </c>
      <c r="F496" s="2" t="s">
        <v>22</v>
      </c>
      <c r="G496" s="2" t="s">
        <v>804</v>
      </c>
      <c r="H496" s="3" t="s">
        <v>805</v>
      </c>
      <c r="I496" s="2" t="s">
        <v>806</v>
      </c>
      <c r="J496" s="2" t="s">
        <v>847</v>
      </c>
      <c r="K496" s="3" t="s">
        <v>848</v>
      </c>
      <c r="L496" s="2" t="n">
        <f aca="false">MAX(1,ROUND(15*Inputs!$B$6^(D496-1)/Inputs!$B$12,0))</f>
        <v>1</v>
      </c>
      <c r="M496" s="2"/>
      <c r="N496" s="2"/>
      <c r="O496" s="2" t="s">
        <v>787</v>
      </c>
      <c r="P496" s="3"/>
      <c r="Q496" s="2" t="s">
        <v>809</v>
      </c>
      <c r="R496" s="2" t="n">
        <v>5</v>
      </c>
      <c r="S496" s="2" t="s">
        <v>807</v>
      </c>
    </row>
    <row r="497" customFormat="false" ht="35.05" hidden="false" customHeight="false" outlineLevel="0" collapsed="false">
      <c r="A497" s="2" t="s">
        <v>781</v>
      </c>
      <c r="B497" s="2" t="n">
        <v>2</v>
      </c>
      <c r="C497" s="2" t="s">
        <v>94</v>
      </c>
      <c r="D497" s="2" t="n">
        <v>6</v>
      </c>
      <c r="E497" s="2" t="s">
        <v>107</v>
      </c>
      <c r="F497" s="2" t="s">
        <v>22</v>
      </c>
      <c r="G497" s="2" t="s">
        <v>811</v>
      </c>
      <c r="H497" s="3" t="s">
        <v>812</v>
      </c>
      <c r="I497" s="2" t="s">
        <v>813</v>
      </c>
      <c r="J497" s="2" t="s">
        <v>849</v>
      </c>
      <c r="K497" s="3" t="s">
        <v>848</v>
      </c>
      <c r="L497" s="2" t="n">
        <f aca="false">MAX(1,ROUND(15*Inputs!$B$6^(D497-1)/Inputs!$B$12,0))</f>
        <v>1</v>
      </c>
      <c r="M497" s="2"/>
      <c r="N497" s="2"/>
      <c r="O497" s="2" t="s">
        <v>787</v>
      </c>
      <c r="P497" s="3"/>
      <c r="Q497" s="2" t="s">
        <v>815</v>
      </c>
      <c r="R497" s="2" t="n">
        <v>0.01</v>
      </c>
      <c r="S497" s="2" t="s">
        <v>814</v>
      </c>
    </row>
    <row r="498" customFormat="false" ht="15" hidden="false" customHeight="false" outlineLevel="0" collapsed="false">
      <c r="A498" s="4" t="s">
        <v>781</v>
      </c>
      <c r="B498" s="4" t="n">
        <v>2</v>
      </c>
      <c r="C498" s="4" t="s">
        <v>94</v>
      </c>
      <c r="D498" s="4" t="n">
        <v>7</v>
      </c>
      <c r="E498" s="4" t="s">
        <v>109</v>
      </c>
      <c r="F498" s="4" t="s">
        <v>72</v>
      </c>
      <c r="G498" s="4" t="s">
        <v>817</v>
      </c>
      <c r="H498" s="5" t="s">
        <v>818</v>
      </c>
      <c r="I498" s="4" t="s">
        <v>819</v>
      </c>
      <c r="J498" s="4" t="s">
        <v>850</v>
      </c>
      <c r="K498" s="5" t="s">
        <v>851</v>
      </c>
      <c r="L498" s="4" t="n">
        <f aca="false">MAX(1,ROUND(15*Inputs!$B$6^(D498-1)/Inputs!$B$12,0))</f>
        <v>2</v>
      </c>
      <c r="M498" s="4"/>
      <c r="N498" s="4"/>
      <c r="O498" s="4" t="s">
        <v>787</v>
      </c>
      <c r="P498" s="5"/>
      <c r="Q498" s="4" t="s">
        <v>822</v>
      </c>
      <c r="R498" s="4" t="n">
        <v>1</v>
      </c>
      <c r="S498" s="4" t="s">
        <v>820</v>
      </c>
    </row>
    <row r="499" customFormat="false" ht="23.85" hidden="false" customHeight="false" outlineLevel="0" collapsed="false">
      <c r="A499" s="4" t="s">
        <v>781</v>
      </c>
      <c r="B499" s="4" t="n">
        <v>2</v>
      </c>
      <c r="C499" s="4" t="s">
        <v>94</v>
      </c>
      <c r="D499" s="4" t="n">
        <v>8</v>
      </c>
      <c r="E499" s="4" t="s">
        <v>111</v>
      </c>
      <c r="F499" s="4" t="s">
        <v>72</v>
      </c>
      <c r="G499" s="4" t="s">
        <v>824</v>
      </c>
      <c r="H499" s="5" t="s">
        <v>825</v>
      </c>
      <c r="I499" s="4" t="s">
        <v>363</v>
      </c>
      <c r="J499" s="4" t="s">
        <v>852</v>
      </c>
      <c r="K499" s="5" t="s">
        <v>851</v>
      </c>
      <c r="L499" s="4" t="n">
        <f aca="false">MAX(1,ROUND(15*Inputs!$B$6^(D499-1)/Inputs!$B$12,0))</f>
        <v>2</v>
      </c>
      <c r="M499" s="4"/>
      <c r="N499" s="4"/>
      <c r="O499" s="4" t="s">
        <v>787</v>
      </c>
      <c r="P499" s="5"/>
      <c r="Q499" s="4" t="s">
        <v>827</v>
      </c>
      <c r="R499" s="4" t="n">
        <v>0.1</v>
      </c>
      <c r="S499" s="4" t="s">
        <v>826</v>
      </c>
    </row>
    <row r="500" customFormat="false" ht="15" hidden="false" customHeight="false" outlineLevel="0" collapsed="false">
      <c r="A500" s="4" t="s">
        <v>781</v>
      </c>
      <c r="B500" s="4" t="n">
        <v>2</v>
      </c>
      <c r="C500" s="4" t="s">
        <v>94</v>
      </c>
      <c r="D500" s="4" t="n">
        <v>9</v>
      </c>
      <c r="E500" s="4" t="s">
        <v>113</v>
      </c>
      <c r="F500" s="4" t="s">
        <v>72</v>
      </c>
      <c r="G500" s="4" t="s">
        <v>829</v>
      </c>
      <c r="H500" s="5" t="s">
        <v>830</v>
      </c>
      <c r="I500" s="4" t="s">
        <v>831</v>
      </c>
      <c r="J500" s="4" t="s">
        <v>853</v>
      </c>
      <c r="K500" s="5" t="s">
        <v>854</v>
      </c>
      <c r="L500" s="4" t="n">
        <f aca="false">MAX(1,ROUND(15*Inputs!$B$6^(D500-1)/Inputs!$B$12,0))</f>
        <v>2</v>
      </c>
      <c r="M500" s="4"/>
      <c r="N500" s="4"/>
      <c r="O500" s="4" t="s">
        <v>787</v>
      </c>
      <c r="P500" s="5"/>
      <c r="Q500" s="4" t="s">
        <v>834</v>
      </c>
      <c r="R500" s="4" t="n">
        <v>0.1</v>
      </c>
      <c r="S500" s="4" t="s">
        <v>832</v>
      </c>
    </row>
    <row r="501" customFormat="false" ht="23.85" hidden="false" customHeight="false" outlineLevel="0" collapsed="false">
      <c r="A501" s="6" t="s">
        <v>781</v>
      </c>
      <c r="B501" s="6" t="n">
        <v>2</v>
      </c>
      <c r="C501" s="6" t="s">
        <v>94</v>
      </c>
      <c r="D501" s="6" t="n">
        <v>10</v>
      </c>
      <c r="E501" s="6" t="s">
        <v>115</v>
      </c>
      <c r="F501" s="6" t="s">
        <v>87</v>
      </c>
      <c r="G501" s="6" t="s">
        <v>855</v>
      </c>
      <c r="H501" s="7" t="s">
        <v>856</v>
      </c>
      <c r="I501" s="6" t="s">
        <v>90</v>
      </c>
      <c r="J501" s="6"/>
      <c r="K501" s="7" t="s">
        <v>854</v>
      </c>
      <c r="L501" s="6" t="n">
        <f aca="false">MAX(1,ROUND(15*Inputs!$B$6^(D501-1)/Inputs!$B$12,0))</f>
        <v>3</v>
      </c>
      <c r="M501" s="6" t="s">
        <v>465</v>
      </c>
      <c r="N501" s="6" t="n">
        <v>1</v>
      </c>
      <c r="O501" s="6" t="s">
        <v>787</v>
      </c>
      <c r="P501" s="7"/>
      <c r="Q501" s="6" t="s">
        <v>857</v>
      </c>
      <c r="R501" s="8" t="b">
        <f aca="false">TRUE()</f>
        <v>1</v>
      </c>
      <c r="S501" s="6" t="s">
        <v>93</v>
      </c>
    </row>
    <row r="502" customFormat="false" ht="23.85" hidden="false" customHeight="false" outlineLevel="0" collapsed="false">
      <c r="A502" s="2" t="s">
        <v>781</v>
      </c>
      <c r="B502" s="2" t="n">
        <v>3</v>
      </c>
      <c r="C502" s="2" t="s">
        <v>120</v>
      </c>
      <c r="D502" s="2" t="n">
        <v>1</v>
      </c>
      <c r="E502" s="2" t="s">
        <v>121</v>
      </c>
      <c r="F502" s="2" t="s">
        <v>22</v>
      </c>
      <c r="G502" s="2" t="s">
        <v>782</v>
      </c>
      <c r="H502" s="3" t="s">
        <v>783</v>
      </c>
      <c r="I502" s="2" t="s">
        <v>858</v>
      </c>
      <c r="J502" s="2" t="s">
        <v>859</v>
      </c>
      <c r="K502" s="3" t="s">
        <v>860</v>
      </c>
      <c r="L502" s="2" t="n">
        <f aca="false">MAX(1,ROUND(22*Inputs!$B$6^(D502-1)/Inputs!$B$12,0))</f>
        <v>1</v>
      </c>
      <c r="M502" s="2"/>
      <c r="N502" s="2"/>
      <c r="O502" s="2" t="s">
        <v>787</v>
      </c>
      <c r="P502" s="3"/>
      <c r="Q502" s="2" t="s">
        <v>788</v>
      </c>
      <c r="R502" s="2" t="n">
        <v>38</v>
      </c>
      <c r="S502" s="2" t="s">
        <v>840</v>
      </c>
    </row>
    <row r="503" customFormat="false" ht="15" hidden="false" customHeight="false" outlineLevel="0" collapsed="false">
      <c r="A503" s="2" t="s">
        <v>781</v>
      </c>
      <c r="B503" s="2" t="n">
        <v>3</v>
      </c>
      <c r="C503" s="2" t="s">
        <v>120</v>
      </c>
      <c r="D503" s="2" t="n">
        <v>2</v>
      </c>
      <c r="E503" s="2" t="s">
        <v>125</v>
      </c>
      <c r="F503" s="2" t="s">
        <v>22</v>
      </c>
      <c r="G503" s="2" t="s">
        <v>790</v>
      </c>
      <c r="H503" s="3" t="s">
        <v>791</v>
      </c>
      <c r="I503" s="2" t="s">
        <v>806</v>
      </c>
      <c r="J503" s="2" t="s">
        <v>861</v>
      </c>
      <c r="K503" s="3" t="s">
        <v>860</v>
      </c>
      <c r="L503" s="2" t="n">
        <f aca="false">MAX(1,ROUND(22*Inputs!$B$6^(D503-1)/Inputs!$B$12,0))</f>
        <v>1</v>
      </c>
      <c r="M503" s="2"/>
      <c r="N503" s="2"/>
      <c r="O503" s="2" t="s">
        <v>787</v>
      </c>
      <c r="P503" s="3"/>
      <c r="Q503" s="2" t="s">
        <v>794</v>
      </c>
      <c r="R503" s="2" t="n">
        <v>5</v>
      </c>
      <c r="S503" s="2" t="s">
        <v>843</v>
      </c>
    </row>
    <row r="504" customFormat="false" ht="15" hidden="false" customHeight="false" outlineLevel="0" collapsed="false">
      <c r="A504" s="2" t="s">
        <v>781</v>
      </c>
      <c r="B504" s="2" t="n">
        <v>3</v>
      </c>
      <c r="C504" s="2" t="s">
        <v>120</v>
      </c>
      <c r="D504" s="2" t="n">
        <v>3</v>
      </c>
      <c r="E504" s="2" t="s">
        <v>127</v>
      </c>
      <c r="F504" s="2" t="s">
        <v>22</v>
      </c>
      <c r="G504" s="2" t="s">
        <v>796</v>
      </c>
      <c r="H504" s="3" t="s">
        <v>797</v>
      </c>
      <c r="I504" s="2" t="s">
        <v>798</v>
      </c>
      <c r="J504" s="2" t="s">
        <v>862</v>
      </c>
      <c r="K504" s="3" t="s">
        <v>863</v>
      </c>
      <c r="L504" s="2" t="n">
        <f aca="false">MAX(1,ROUND(22*Inputs!$B$6^(D504-1)/Inputs!$B$12,0))</f>
        <v>1</v>
      </c>
      <c r="M504" s="2"/>
      <c r="N504" s="2"/>
      <c r="O504" s="2" t="s">
        <v>787</v>
      </c>
      <c r="P504" s="3"/>
      <c r="Q504" s="2" t="s">
        <v>801</v>
      </c>
      <c r="R504" s="2" t="n">
        <v>0.5</v>
      </c>
      <c r="S504" s="2" t="s">
        <v>846</v>
      </c>
    </row>
    <row r="505" customFormat="false" ht="15" hidden="false" customHeight="false" outlineLevel="0" collapsed="false">
      <c r="A505" s="2" t="s">
        <v>781</v>
      </c>
      <c r="B505" s="2" t="n">
        <v>3</v>
      </c>
      <c r="C505" s="2" t="s">
        <v>120</v>
      </c>
      <c r="D505" s="2" t="n">
        <v>4</v>
      </c>
      <c r="E505" s="2" t="s">
        <v>129</v>
      </c>
      <c r="F505" s="2" t="s">
        <v>22</v>
      </c>
      <c r="G505" s="2" t="s">
        <v>796</v>
      </c>
      <c r="H505" s="3" t="s">
        <v>797</v>
      </c>
      <c r="I505" s="2" t="s">
        <v>798</v>
      </c>
      <c r="J505" s="2" t="s">
        <v>864</v>
      </c>
      <c r="K505" s="3" t="s">
        <v>863</v>
      </c>
      <c r="L505" s="2" t="n">
        <f aca="false">MAX(1,ROUND(22*Inputs!$B$6^(D505-1)/Inputs!$B$12,0))</f>
        <v>2</v>
      </c>
      <c r="M505" s="2"/>
      <c r="N505" s="2"/>
      <c r="O505" s="2" t="s">
        <v>787</v>
      </c>
      <c r="P505" s="3"/>
      <c r="Q505" s="2" t="s">
        <v>801</v>
      </c>
      <c r="R505" s="2" t="n">
        <v>0.5</v>
      </c>
      <c r="S505" s="2" t="s">
        <v>862</v>
      </c>
    </row>
    <row r="506" customFormat="false" ht="15" hidden="false" customHeight="false" outlineLevel="0" collapsed="false">
      <c r="A506" s="2" t="s">
        <v>781</v>
      </c>
      <c r="B506" s="2" t="n">
        <v>3</v>
      </c>
      <c r="C506" s="2" t="s">
        <v>120</v>
      </c>
      <c r="D506" s="2" t="n">
        <v>5</v>
      </c>
      <c r="E506" s="2" t="s">
        <v>131</v>
      </c>
      <c r="F506" s="2" t="s">
        <v>22</v>
      </c>
      <c r="G506" s="2" t="s">
        <v>804</v>
      </c>
      <c r="H506" s="3" t="s">
        <v>805</v>
      </c>
      <c r="I506" s="2" t="s">
        <v>806</v>
      </c>
      <c r="J506" s="2" t="s">
        <v>865</v>
      </c>
      <c r="K506" s="3" t="s">
        <v>866</v>
      </c>
      <c r="L506" s="2" t="n">
        <f aca="false">MAX(1,ROUND(22*Inputs!$B$6^(D506-1)/Inputs!$B$12,0))</f>
        <v>2</v>
      </c>
      <c r="M506" s="2"/>
      <c r="N506" s="2"/>
      <c r="O506" s="2" t="s">
        <v>787</v>
      </c>
      <c r="P506" s="3"/>
      <c r="Q506" s="2" t="s">
        <v>809</v>
      </c>
      <c r="R506" s="2" t="n">
        <v>5</v>
      </c>
      <c r="S506" s="2" t="s">
        <v>847</v>
      </c>
    </row>
    <row r="507" customFormat="false" ht="35.05" hidden="false" customHeight="false" outlineLevel="0" collapsed="false">
      <c r="A507" s="2" t="s">
        <v>781</v>
      </c>
      <c r="B507" s="2" t="n">
        <v>3</v>
      </c>
      <c r="C507" s="2" t="s">
        <v>120</v>
      </c>
      <c r="D507" s="2" t="n">
        <v>6</v>
      </c>
      <c r="E507" s="2" t="s">
        <v>133</v>
      </c>
      <c r="F507" s="2" t="s">
        <v>22</v>
      </c>
      <c r="G507" s="2" t="s">
        <v>811</v>
      </c>
      <c r="H507" s="3" t="s">
        <v>812</v>
      </c>
      <c r="I507" s="2" t="s">
        <v>813</v>
      </c>
      <c r="J507" s="2" t="s">
        <v>867</v>
      </c>
      <c r="K507" s="3" t="s">
        <v>866</v>
      </c>
      <c r="L507" s="2" t="n">
        <f aca="false">MAX(1,ROUND(22*Inputs!$B$6^(D507-1)/Inputs!$B$12,0))</f>
        <v>2</v>
      </c>
      <c r="M507" s="2"/>
      <c r="N507" s="2"/>
      <c r="O507" s="2" t="s">
        <v>787</v>
      </c>
      <c r="P507" s="3"/>
      <c r="Q507" s="2" t="s">
        <v>815</v>
      </c>
      <c r="R507" s="2" t="n">
        <v>0.01</v>
      </c>
      <c r="S507" s="2" t="s">
        <v>849</v>
      </c>
    </row>
    <row r="508" customFormat="false" ht="15" hidden="false" customHeight="false" outlineLevel="0" collapsed="false">
      <c r="A508" s="4" t="s">
        <v>781</v>
      </c>
      <c r="B508" s="4" t="n">
        <v>3</v>
      </c>
      <c r="C508" s="4" t="s">
        <v>120</v>
      </c>
      <c r="D508" s="4" t="n">
        <v>7</v>
      </c>
      <c r="E508" s="4" t="s">
        <v>135</v>
      </c>
      <c r="F508" s="4" t="s">
        <v>72</v>
      </c>
      <c r="G508" s="4" t="s">
        <v>817</v>
      </c>
      <c r="H508" s="5" t="s">
        <v>818</v>
      </c>
      <c r="I508" s="4" t="s">
        <v>819</v>
      </c>
      <c r="J508" s="4" t="s">
        <v>868</v>
      </c>
      <c r="K508" s="5" t="s">
        <v>869</v>
      </c>
      <c r="L508" s="4" t="n">
        <f aca="false">MAX(1,ROUND(22*Inputs!$B$6^(D508-1)/Inputs!$B$12,0))</f>
        <v>3</v>
      </c>
      <c r="M508" s="4"/>
      <c r="N508" s="4"/>
      <c r="O508" s="4" t="s">
        <v>787</v>
      </c>
      <c r="P508" s="5"/>
      <c r="Q508" s="4" t="s">
        <v>822</v>
      </c>
      <c r="R508" s="4" t="n">
        <v>1</v>
      </c>
      <c r="S508" s="4" t="s">
        <v>850</v>
      </c>
    </row>
    <row r="509" customFormat="false" ht="23.85" hidden="false" customHeight="false" outlineLevel="0" collapsed="false">
      <c r="A509" s="4" t="s">
        <v>781</v>
      </c>
      <c r="B509" s="4" t="n">
        <v>3</v>
      </c>
      <c r="C509" s="4" t="s">
        <v>120</v>
      </c>
      <c r="D509" s="4" t="n">
        <v>8</v>
      </c>
      <c r="E509" s="4" t="s">
        <v>137</v>
      </c>
      <c r="F509" s="4" t="s">
        <v>72</v>
      </c>
      <c r="G509" s="4" t="s">
        <v>824</v>
      </c>
      <c r="H509" s="5" t="s">
        <v>825</v>
      </c>
      <c r="I509" s="4" t="s">
        <v>363</v>
      </c>
      <c r="J509" s="4" t="s">
        <v>870</v>
      </c>
      <c r="K509" s="5" t="s">
        <v>869</v>
      </c>
      <c r="L509" s="4" t="n">
        <f aca="false">MAX(1,ROUND(22*Inputs!$B$6^(D509-1)/Inputs!$B$12,0))</f>
        <v>3</v>
      </c>
      <c r="M509" s="4"/>
      <c r="N509" s="4"/>
      <c r="O509" s="4" t="s">
        <v>787</v>
      </c>
      <c r="P509" s="5"/>
      <c r="Q509" s="4" t="s">
        <v>827</v>
      </c>
      <c r="R509" s="4" t="n">
        <v>0.1</v>
      </c>
      <c r="S509" s="4" t="s">
        <v>852</v>
      </c>
    </row>
    <row r="510" customFormat="false" ht="15" hidden="false" customHeight="false" outlineLevel="0" collapsed="false">
      <c r="A510" s="4" t="s">
        <v>781</v>
      </c>
      <c r="B510" s="4" t="n">
        <v>3</v>
      </c>
      <c r="C510" s="4" t="s">
        <v>120</v>
      </c>
      <c r="D510" s="4" t="n">
        <v>9</v>
      </c>
      <c r="E510" s="4" t="s">
        <v>139</v>
      </c>
      <c r="F510" s="4" t="s">
        <v>72</v>
      </c>
      <c r="G510" s="4" t="s">
        <v>829</v>
      </c>
      <c r="H510" s="5" t="s">
        <v>830</v>
      </c>
      <c r="I510" s="4" t="s">
        <v>831</v>
      </c>
      <c r="J510" s="4" t="s">
        <v>871</v>
      </c>
      <c r="K510" s="5" t="s">
        <v>872</v>
      </c>
      <c r="L510" s="4" t="n">
        <f aca="false">MAX(1,ROUND(22*Inputs!$B$6^(D510-1)/Inputs!$B$12,0))</f>
        <v>3</v>
      </c>
      <c r="M510" s="4"/>
      <c r="N510" s="4"/>
      <c r="O510" s="4" t="s">
        <v>787</v>
      </c>
      <c r="P510" s="5"/>
      <c r="Q510" s="4" t="s">
        <v>834</v>
      </c>
      <c r="R510" s="4" t="n">
        <v>0.1</v>
      </c>
      <c r="S510" s="4" t="s">
        <v>853</v>
      </c>
    </row>
    <row r="511" customFormat="false" ht="15" hidden="false" customHeight="false" outlineLevel="0" collapsed="false">
      <c r="A511" s="6" t="s">
        <v>781</v>
      </c>
      <c r="B511" s="6" t="n">
        <v>3</v>
      </c>
      <c r="C511" s="6" t="s">
        <v>120</v>
      </c>
      <c r="D511" s="6" t="n">
        <v>10</v>
      </c>
      <c r="E511" s="6" t="s">
        <v>141</v>
      </c>
      <c r="F511" s="6" t="s">
        <v>87</v>
      </c>
      <c r="G511" s="6" t="s">
        <v>873</v>
      </c>
      <c r="H511" s="7" t="s">
        <v>874</v>
      </c>
      <c r="I511" s="6" t="s">
        <v>90</v>
      </c>
      <c r="J511" s="6"/>
      <c r="K511" s="7" t="s">
        <v>872</v>
      </c>
      <c r="L511" s="6" t="n">
        <f aca="false">MAX(1,ROUND(22*Inputs!$B$6^(D511-1)/Inputs!$B$12,0))</f>
        <v>4</v>
      </c>
      <c r="M511" s="6" t="s">
        <v>476</v>
      </c>
      <c r="N511" s="6" t="n">
        <v>2</v>
      </c>
      <c r="O511" s="6" t="s">
        <v>787</v>
      </c>
      <c r="P511" s="7"/>
      <c r="Q511" s="6" t="s">
        <v>875</v>
      </c>
      <c r="R511" s="8" t="b">
        <f aca="false">TRUE()</f>
        <v>1</v>
      </c>
      <c r="S511" s="6" t="s">
        <v>93</v>
      </c>
    </row>
    <row r="512" customFormat="false" ht="23.85" hidden="false" customHeight="false" outlineLevel="0" collapsed="false">
      <c r="A512" s="2" t="s">
        <v>781</v>
      </c>
      <c r="B512" s="2" t="n">
        <v>4</v>
      </c>
      <c r="C512" s="2" t="s">
        <v>146</v>
      </c>
      <c r="D512" s="2" t="n">
        <v>1</v>
      </c>
      <c r="E512" s="2" t="s">
        <v>147</v>
      </c>
      <c r="F512" s="2" t="s">
        <v>22</v>
      </c>
      <c r="G512" s="2" t="s">
        <v>782</v>
      </c>
      <c r="H512" s="3" t="s">
        <v>783</v>
      </c>
      <c r="I512" s="2" t="s">
        <v>876</v>
      </c>
      <c r="J512" s="2" t="s">
        <v>877</v>
      </c>
      <c r="K512" s="3" t="s">
        <v>878</v>
      </c>
      <c r="L512" s="2" t="n">
        <f aca="false">MAX(1,ROUND(28*Inputs!$B$6^(D512-1)/Inputs!$B$12,0))</f>
        <v>1</v>
      </c>
      <c r="M512" s="2"/>
      <c r="N512" s="2"/>
      <c r="O512" s="2" t="s">
        <v>787</v>
      </c>
      <c r="P512" s="3"/>
      <c r="Q512" s="2" t="s">
        <v>788</v>
      </c>
      <c r="R512" s="2" t="n">
        <v>50</v>
      </c>
      <c r="S512" s="2" t="s">
        <v>859</v>
      </c>
    </row>
    <row r="513" customFormat="false" ht="15" hidden="false" customHeight="false" outlineLevel="0" collapsed="false">
      <c r="A513" s="2" t="s">
        <v>781</v>
      </c>
      <c r="B513" s="2" t="n">
        <v>4</v>
      </c>
      <c r="C513" s="2" t="s">
        <v>146</v>
      </c>
      <c r="D513" s="2" t="n">
        <v>2</v>
      </c>
      <c r="E513" s="2" t="s">
        <v>151</v>
      </c>
      <c r="F513" s="2" t="s">
        <v>22</v>
      </c>
      <c r="G513" s="2" t="s">
        <v>790</v>
      </c>
      <c r="H513" s="3" t="s">
        <v>791</v>
      </c>
      <c r="I513" s="2" t="s">
        <v>879</v>
      </c>
      <c r="J513" s="2" t="s">
        <v>880</v>
      </c>
      <c r="K513" s="3" t="s">
        <v>878</v>
      </c>
      <c r="L513" s="2" t="n">
        <f aca="false">MAX(1,ROUND(28*Inputs!$B$6^(D513-1)/Inputs!$B$12,0))</f>
        <v>2</v>
      </c>
      <c r="M513" s="2"/>
      <c r="N513" s="2"/>
      <c r="O513" s="2" t="s">
        <v>787</v>
      </c>
      <c r="P513" s="3"/>
      <c r="Q513" s="2" t="s">
        <v>794</v>
      </c>
      <c r="R513" s="2" t="n">
        <v>6</v>
      </c>
      <c r="S513" s="2" t="s">
        <v>861</v>
      </c>
    </row>
    <row r="514" customFormat="false" ht="15" hidden="false" customHeight="false" outlineLevel="0" collapsed="false">
      <c r="A514" s="2" t="s">
        <v>781</v>
      </c>
      <c r="B514" s="2" t="n">
        <v>4</v>
      </c>
      <c r="C514" s="2" t="s">
        <v>146</v>
      </c>
      <c r="D514" s="2" t="n">
        <v>3</v>
      </c>
      <c r="E514" s="2" t="s">
        <v>153</v>
      </c>
      <c r="F514" s="2" t="s">
        <v>22</v>
      </c>
      <c r="G514" s="2" t="s">
        <v>796</v>
      </c>
      <c r="H514" s="3" t="s">
        <v>797</v>
      </c>
      <c r="I514" s="2" t="s">
        <v>798</v>
      </c>
      <c r="J514" s="2" t="s">
        <v>881</v>
      </c>
      <c r="K514" s="3" t="s">
        <v>882</v>
      </c>
      <c r="L514" s="2" t="n">
        <f aca="false">MAX(1,ROUND(28*Inputs!$B$6^(D514-1)/Inputs!$B$12,0))</f>
        <v>2</v>
      </c>
      <c r="M514" s="2"/>
      <c r="N514" s="2"/>
      <c r="O514" s="2" t="s">
        <v>787</v>
      </c>
      <c r="P514" s="3"/>
      <c r="Q514" s="2" t="s">
        <v>801</v>
      </c>
      <c r="R514" s="2" t="n">
        <v>0.5</v>
      </c>
      <c r="S514" s="2" t="s">
        <v>864</v>
      </c>
    </row>
    <row r="515" customFormat="false" ht="15" hidden="false" customHeight="false" outlineLevel="0" collapsed="false">
      <c r="A515" s="2" t="s">
        <v>781</v>
      </c>
      <c r="B515" s="2" t="n">
        <v>4</v>
      </c>
      <c r="C515" s="2" t="s">
        <v>146</v>
      </c>
      <c r="D515" s="2" t="n">
        <v>4</v>
      </c>
      <c r="E515" s="2" t="s">
        <v>155</v>
      </c>
      <c r="F515" s="2" t="s">
        <v>22</v>
      </c>
      <c r="G515" s="2" t="s">
        <v>796</v>
      </c>
      <c r="H515" s="3" t="s">
        <v>797</v>
      </c>
      <c r="I515" s="2" t="s">
        <v>798</v>
      </c>
      <c r="J515" s="2" t="s">
        <v>883</v>
      </c>
      <c r="K515" s="3" t="s">
        <v>882</v>
      </c>
      <c r="L515" s="2" t="n">
        <f aca="false">MAX(1,ROUND(28*Inputs!$B$6^(D515-1)/Inputs!$B$12,0))</f>
        <v>2</v>
      </c>
      <c r="M515" s="2"/>
      <c r="N515" s="2"/>
      <c r="O515" s="2" t="s">
        <v>787</v>
      </c>
      <c r="P515" s="3"/>
      <c r="Q515" s="2" t="s">
        <v>801</v>
      </c>
      <c r="R515" s="2" t="n">
        <v>0.5</v>
      </c>
      <c r="S515" s="2" t="s">
        <v>881</v>
      </c>
    </row>
    <row r="516" customFormat="false" ht="15" hidden="false" customHeight="false" outlineLevel="0" collapsed="false">
      <c r="A516" s="2" t="s">
        <v>781</v>
      </c>
      <c r="B516" s="2" t="n">
        <v>4</v>
      </c>
      <c r="C516" s="2" t="s">
        <v>146</v>
      </c>
      <c r="D516" s="2" t="n">
        <v>5</v>
      </c>
      <c r="E516" s="2" t="s">
        <v>157</v>
      </c>
      <c r="F516" s="2" t="s">
        <v>22</v>
      </c>
      <c r="G516" s="2" t="s">
        <v>804</v>
      </c>
      <c r="H516" s="3" t="s">
        <v>805</v>
      </c>
      <c r="I516" s="2" t="s">
        <v>806</v>
      </c>
      <c r="J516" s="2" t="s">
        <v>884</v>
      </c>
      <c r="K516" s="3" t="s">
        <v>885</v>
      </c>
      <c r="L516" s="2" t="n">
        <f aca="false">MAX(1,ROUND(28*Inputs!$B$6^(D516-1)/Inputs!$B$12,0))</f>
        <v>2</v>
      </c>
      <c r="M516" s="2"/>
      <c r="N516" s="2"/>
      <c r="O516" s="2" t="s">
        <v>787</v>
      </c>
      <c r="P516" s="3"/>
      <c r="Q516" s="2" t="s">
        <v>809</v>
      </c>
      <c r="R516" s="2" t="n">
        <v>5</v>
      </c>
      <c r="S516" s="2" t="s">
        <v>865</v>
      </c>
    </row>
    <row r="517" customFormat="false" ht="35.05" hidden="false" customHeight="false" outlineLevel="0" collapsed="false">
      <c r="A517" s="2" t="s">
        <v>781</v>
      </c>
      <c r="B517" s="2" t="n">
        <v>4</v>
      </c>
      <c r="C517" s="2" t="s">
        <v>146</v>
      </c>
      <c r="D517" s="2" t="n">
        <v>6</v>
      </c>
      <c r="E517" s="2" t="s">
        <v>159</v>
      </c>
      <c r="F517" s="2" t="s">
        <v>22</v>
      </c>
      <c r="G517" s="2" t="s">
        <v>811</v>
      </c>
      <c r="H517" s="3" t="s">
        <v>812</v>
      </c>
      <c r="I517" s="2" t="s">
        <v>813</v>
      </c>
      <c r="J517" s="2" t="s">
        <v>886</v>
      </c>
      <c r="K517" s="3" t="s">
        <v>885</v>
      </c>
      <c r="L517" s="2" t="n">
        <f aca="false">MAX(1,ROUND(28*Inputs!$B$6^(D517-1)/Inputs!$B$12,0))</f>
        <v>3</v>
      </c>
      <c r="M517" s="2"/>
      <c r="N517" s="2"/>
      <c r="O517" s="2" t="s">
        <v>787</v>
      </c>
      <c r="P517" s="3"/>
      <c r="Q517" s="2" t="s">
        <v>815</v>
      </c>
      <c r="R517" s="2" t="n">
        <v>0.01</v>
      </c>
      <c r="S517" s="2" t="s">
        <v>867</v>
      </c>
    </row>
    <row r="518" customFormat="false" ht="15" hidden="false" customHeight="false" outlineLevel="0" collapsed="false">
      <c r="A518" s="4" t="s">
        <v>781</v>
      </c>
      <c r="B518" s="4" t="n">
        <v>4</v>
      </c>
      <c r="C518" s="4" t="s">
        <v>146</v>
      </c>
      <c r="D518" s="4" t="n">
        <v>7</v>
      </c>
      <c r="E518" s="4" t="s">
        <v>161</v>
      </c>
      <c r="F518" s="4" t="s">
        <v>72</v>
      </c>
      <c r="G518" s="4" t="s">
        <v>817</v>
      </c>
      <c r="H518" s="5" t="s">
        <v>818</v>
      </c>
      <c r="I518" s="4" t="s">
        <v>819</v>
      </c>
      <c r="J518" s="4" t="s">
        <v>887</v>
      </c>
      <c r="K518" s="5" t="s">
        <v>888</v>
      </c>
      <c r="L518" s="4" t="n">
        <f aca="false">MAX(1,ROUND(28*Inputs!$B$6^(D518-1)/Inputs!$B$12,0))</f>
        <v>3</v>
      </c>
      <c r="M518" s="4"/>
      <c r="N518" s="4"/>
      <c r="O518" s="4" t="s">
        <v>787</v>
      </c>
      <c r="P518" s="5"/>
      <c r="Q518" s="4" t="s">
        <v>822</v>
      </c>
      <c r="R518" s="4" t="n">
        <v>1</v>
      </c>
      <c r="S518" s="4" t="s">
        <v>868</v>
      </c>
    </row>
    <row r="519" customFormat="false" ht="23.85" hidden="false" customHeight="false" outlineLevel="0" collapsed="false">
      <c r="A519" s="4" t="s">
        <v>781</v>
      </c>
      <c r="B519" s="4" t="n">
        <v>4</v>
      </c>
      <c r="C519" s="4" t="s">
        <v>146</v>
      </c>
      <c r="D519" s="4" t="n">
        <v>8</v>
      </c>
      <c r="E519" s="4" t="s">
        <v>163</v>
      </c>
      <c r="F519" s="4" t="s">
        <v>72</v>
      </c>
      <c r="G519" s="4" t="s">
        <v>824</v>
      </c>
      <c r="H519" s="5" t="s">
        <v>825</v>
      </c>
      <c r="I519" s="4" t="s">
        <v>363</v>
      </c>
      <c r="J519" s="4" t="s">
        <v>889</v>
      </c>
      <c r="K519" s="5" t="s">
        <v>888</v>
      </c>
      <c r="L519" s="4" t="n">
        <f aca="false">MAX(1,ROUND(28*Inputs!$B$6^(D519-1)/Inputs!$B$12,0))</f>
        <v>4</v>
      </c>
      <c r="M519" s="4"/>
      <c r="N519" s="4"/>
      <c r="O519" s="4" t="s">
        <v>787</v>
      </c>
      <c r="P519" s="5"/>
      <c r="Q519" s="4" t="s">
        <v>827</v>
      </c>
      <c r="R519" s="4" t="n">
        <v>0.1</v>
      </c>
      <c r="S519" s="4" t="s">
        <v>870</v>
      </c>
    </row>
    <row r="520" customFormat="false" ht="15" hidden="false" customHeight="false" outlineLevel="0" collapsed="false">
      <c r="A520" s="4" t="s">
        <v>781</v>
      </c>
      <c r="B520" s="4" t="n">
        <v>4</v>
      </c>
      <c r="C520" s="4" t="s">
        <v>146</v>
      </c>
      <c r="D520" s="4" t="n">
        <v>9</v>
      </c>
      <c r="E520" s="4" t="s">
        <v>165</v>
      </c>
      <c r="F520" s="4" t="s">
        <v>72</v>
      </c>
      <c r="G520" s="4" t="s">
        <v>829</v>
      </c>
      <c r="H520" s="5" t="s">
        <v>830</v>
      </c>
      <c r="I520" s="4" t="s">
        <v>831</v>
      </c>
      <c r="J520" s="4" t="s">
        <v>890</v>
      </c>
      <c r="K520" s="5" t="s">
        <v>891</v>
      </c>
      <c r="L520" s="4" t="n">
        <f aca="false">MAX(1,ROUND(28*Inputs!$B$6^(D520-1)/Inputs!$B$12,0))</f>
        <v>4</v>
      </c>
      <c r="M520" s="4"/>
      <c r="N520" s="4"/>
      <c r="O520" s="4" t="s">
        <v>787</v>
      </c>
      <c r="P520" s="5"/>
      <c r="Q520" s="4" t="s">
        <v>834</v>
      </c>
      <c r="R520" s="4" t="n">
        <v>0.1</v>
      </c>
      <c r="S520" s="4" t="s">
        <v>871</v>
      </c>
    </row>
    <row r="521" customFormat="false" ht="15" hidden="false" customHeight="false" outlineLevel="0" collapsed="false">
      <c r="A521" s="6" t="s">
        <v>781</v>
      </c>
      <c r="B521" s="6" t="n">
        <v>4</v>
      </c>
      <c r="C521" s="6" t="s">
        <v>146</v>
      </c>
      <c r="D521" s="6" t="n">
        <v>10</v>
      </c>
      <c r="E521" s="6" t="s">
        <v>167</v>
      </c>
      <c r="F521" s="6" t="s">
        <v>87</v>
      </c>
      <c r="G521" s="6" t="s">
        <v>892</v>
      </c>
      <c r="H521" s="7" t="s">
        <v>893</v>
      </c>
      <c r="I521" s="6" t="s">
        <v>90</v>
      </c>
      <c r="J521" s="6"/>
      <c r="K521" s="7" t="s">
        <v>891</v>
      </c>
      <c r="L521" s="6" t="n">
        <f aca="false">MAX(1,ROUND(28*Inputs!$B$6^(D521-1)/Inputs!$B$12,0))</f>
        <v>5</v>
      </c>
      <c r="M521" s="6" t="s">
        <v>487</v>
      </c>
      <c r="N521" s="6" t="n">
        <v>2</v>
      </c>
      <c r="O521" s="6" t="s">
        <v>787</v>
      </c>
      <c r="P521" s="7"/>
      <c r="Q521" s="6" t="s">
        <v>894</v>
      </c>
      <c r="R521" s="8" t="b">
        <f aca="false">TRUE()</f>
        <v>1</v>
      </c>
      <c r="S521" s="6" t="s">
        <v>93</v>
      </c>
    </row>
    <row r="522" customFormat="false" ht="23.85" hidden="false" customHeight="false" outlineLevel="0" collapsed="false">
      <c r="A522" s="2" t="s">
        <v>781</v>
      </c>
      <c r="B522" s="2" t="n">
        <v>5</v>
      </c>
      <c r="C522" s="2" t="s">
        <v>172</v>
      </c>
      <c r="D522" s="2" t="n">
        <v>1</v>
      </c>
      <c r="E522" s="2" t="s">
        <v>173</v>
      </c>
      <c r="F522" s="2" t="s">
        <v>22</v>
      </c>
      <c r="G522" s="2" t="s">
        <v>782</v>
      </c>
      <c r="H522" s="3" t="s">
        <v>783</v>
      </c>
      <c r="I522" s="2" t="s">
        <v>895</v>
      </c>
      <c r="J522" s="2" t="s">
        <v>896</v>
      </c>
      <c r="K522" s="3" t="s">
        <v>897</v>
      </c>
      <c r="L522" s="2" t="n">
        <f aca="false">MAX(1,ROUND(34*Inputs!$B$6^(D522-1)/Inputs!$B$12,0))</f>
        <v>2</v>
      </c>
      <c r="M522" s="2"/>
      <c r="N522" s="2"/>
      <c r="O522" s="2" t="s">
        <v>787</v>
      </c>
      <c r="P522" s="3"/>
      <c r="Q522" s="2" t="s">
        <v>788</v>
      </c>
      <c r="R522" s="2" t="n">
        <v>62</v>
      </c>
      <c r="S522" s="2" t="s">
        <v>877</v>
      </c>
    </row>
    <row r="523" customFormat="false" ht="15" hidden="false" customHeight="false" outlineLevel="0" collapsed="false">
      <c r="A523" s="2" t="s">
        <v>781</v>
      </c>
      <c r="B523" s="2" t="n">
        <v>5</v>
      </c>
      <c r="C523" s="2" t="s">
        <v>172</v>
      </c>
      <c r="D523" s="2" t="n">
        <v>2</v>
      </c>
      <c r="E523" s="2" t="s">
        <v>177</v>
      </c>
      <c r="F523" s="2" t="s">
        <v>22</v>
      </c>
      <c r="G523" s="2" t="s">
        <v>790</v>
      </c>
      <c r="H523" s="3" t="s">
        <v>791</v>
      </c>
      <c r="I523" s="2" t="s">
        <v>898</v>
      </c>
      <c r="J523" s="2" t="s">
        <v>899</v>
      </c>
      <c r="K523" s="3" t="s">
        <v>897</v>
      </c>
      <c r="L523" s="2" t="n">
        <f aca="false">MAX(1,ROUND(34*Inputs!$B$6^(D523-1)/Inputs!$B$12,0))</f>
        <v>2</v>
      </c>
      <c r="M523" s="2"/>
      <c r="N523" s="2"/>
      <c r="O523" s="2" t="s">
        <v>787</v>
      </c>
      <c r="P523" s="3"/>
      <c r="Q523" s="2" t="s">
        <v>794</v>
      </c>
      <c r="R523" s="2" t="n">
        <v>7</v>
      </c>
      <c r="S523" s="2" t="s">
        <v>880</v>
      </c>
    </row>
    <row r="524" customFormat="false" ht="15" hidden="false" customHeight="false" outlineLevel="0" collapsed="false">
      <c r="A524" s="2" t="s">
        <v>781</v>
      </c>
      <c r="B524" s="2" t="n">
        <v>5</v>
      </c>
      <c r="C524" s="2" t="s">
        <v>172</v>
      </c>
      <c r="D524" s="2" t="n">
        <v>3</v>
      </c>
      <c r="E524" s="2" t="s">
        <v>179</v>
      </c>
      <c r="F524" s="2" t="s">
        <v>22</v>
      </c>
      <c r="G524" s="2" t="s">
        <v>796</v>
      </c>
      <c r="H524" s="3" t="s">
        <v>797</v>
      </c>
      <c r="I524" s="2" t="s">
        <v>798</v>
      </c>
      <c r="J524" s="2" t="s">
        <v>900</v>
      </c>
      <c r="K524" s="3" t="s">
        <v>901</v>
      </c>
      <c r="L524" s="2" t="n">
        <f aca="false">MAX(1,ROUND(34*Inputs!$B$6^(D524-1)/Inputs!$B$12,0))</f>
        <v>2</v>
      </c>
      <c r="M524" s="2"/>
      <c r="N524" s="2"/>
      <c r="O524" s="2" t="s">
        <v>787</v>
      </c>
      <c r="P524" s="3"/>
      <c r="Q524" s="2" t="s">
        <v>801</v>
      </c>
      <c r="R524" s="2" t="n">
        <v>0.5</v>
      </c>
      <c r="S524" s="2" t="s">
        <v>883</v>
      </c>
    </row>
    <row r="525" customFormat="false" ht="15" hidden="false" customHeight="false" outlineLevel="0" collapsed="false">
      <c r="A525" s="2" t="s">
        <v>781</v>
      </c>
      <c r="B525" s="2" t="n">
        <v>5</v>
      </c>
      <c r="C525" s="2" t="s">
        <v>172</v>
      </c>
      <c r="D525" s="2" t="n">
        <v>4</v>
      </c>
      <c r="E525" s="2" t="s">
        <v>181</v>
      </c>
      <c r="F525" s="2" t="s">
        <v>22</v>
      </c>
      <c r="G525" s="2" t="s">
        <v>796</v>
      </c>
      <c r="H525" s="3" t="s">
        <v>797</v>
      </c>
      <c r="I525" s="2" t="s">
        <v>798</v>
      </c>
      <c r="J525" s="2" t="s">
        <v>902</v>
      </c>
      <c r="K525" s="3" t="s">
        <v>901</v>
      </c>
      <c r="L525" s="2" t="n">
        <f aca="false">MAX(1,ROUND(34*Inputs!$B$6^(D525-1)/Inputs!$B$12,0))</f>
        <v>3</v>
      </c>
      <c r="M525" s="2"/>
      <c r="N525" s="2"/>
      <c r="O525" s="2" t="s">
        <v>787</v>
      </c>
      <c r="P525" s="3"/>
      <c r="Q525" s="2" t="s">
        <v>801</v>
      </c>
      <c r="R525" s="2" t="n">
        <v>0.5</v>
      </c>
      <c r="S525" s="2" t="s">
        <v>900</v>
      </c>
    </row>
    <row r="526" customFormat="false" ht="15" hidden="false" customHeight="false" outlineLevel="0" collapsed="false">
      <c r="A526" s="2" t="s">
        <v>781</v>
      </c>
      <c r="B526" s="2" t="n">
        <v>5</v>
      </c>
      <c r="C526" s="2" t="s">
        <v>172</v>
      </c>
      <c r="D526" s="2" t="n">
        <v>5</v>
      </c>
      <c r="E526" s="2" t="s">
        <v>183</v>
      </c>
      <c r="F526" s="2" t="s">
        <v>22</v>
      </c>
      <c r="G526" s="2" t="s">
        <v>804</v>
      </c>
      <c r="H526" s="3" t="s">
        <v>805</v>
      </c>
      <c r="I526" s="2" t="s">
        <v>806</v>
      </c>
      <c r="J526" s="2" t="s">
        <v>903</v>
      </c>
      <c r="K526" s="3" t="s">
        <v>904</v>
      </c>
      <c r="L526" s="2" t="n">
        <f aca="false">MAX(1,ROUND(34*Inputs!$B$6^(D526-1)/Inputs!$B$12,0))</f>
        <v>3</v>
      </c>
      <c r="M526" s="2"/>
      <c r="N526" s="2"/>
      <c r="O526" s="2" t="s">
        <v>787</v>
      </c>
      <c r="P526" s="3"/>
      <c r="Q526" s="2" t="s">
        <v>809</v>
      </c>
      <c r="R526" s="2" t="n">
        <v>5</v>
      </c>
      <c r="S526" s="2" t="s">
        <v>884</v>
      </c>
    </row>
    <row r="527" customFormat="false" ht="35.05" hidden="false" customHeight="false" outlineLevel="0" collapsed="false">
      <c r="A527" s="2" t="s">
        <v>781</v>
      </c>
      <c r="B527" s="2" t="n">
        <v>5</v>
      </c>
      <c r="C527" s="2" t="s">
        <v>172</v>
      </c>
      <c r="D527" s="2" t="n">
        <v>6</v>
      </c>
      <c r="E527" s="2" t="s">
        <v>185</v>
      </c>
      <c r="F527" s="2" t="s">
        <v>22</v>
      </c>
      <c r="G527" s="2" t="s">
        <v>811</v>
      </c>
      <c r="H527" s="3" t="s">
        <v>812</v>
      </c>
      <c r="I527" s="2" t="s">
        <v>813</v>
      </c>
      <c r="J527" s="2" t="s">
        <v>905</v>
      </c>
      <c r="K527" s="3" t="s">
        <v>904</v>
      </c>
      <c r="L527" s="2" t="n">
        <f aca="false">MAX(1,ROUND(34*Inputs!$B$6^(D527-1)/Inputs!$B$12,0))</f>
        <v>3</v>
      </c>
      <c r="M527" s="2"/>
      <c r="N527" s="2"/>
      <c r="O527" s="2" t="s">
        <v>787</v>
      </c>
      <c r="P527" s="3"/>
      <c r="Q527" s="2" t="s">
        <v>815</v>
      </c>
      <c r="R527" s="2" t="n">
        <v>0.01</v>
      </c>
      <c r="S527" s="2" t="s">
        <v>886</v>
      </c>
    </row>
    <row r="528" customFormat="false" ht="15" hidden="false" customHeight="false" outlineLevel="0" collapsed="false">
      <c r="A528" s="4" t="s">
        <v>781</v>
      </c>
      <c r="B528" s="4" t="n">
        <v>5</v>
      </c>
      <c r="C528" s="4" t="s">
        <v>172</v>
      </c>
      <c r="D528" s="4" t="n">
        <v>7</v>
      </c>
      <c r="E528" s="4" t="s">
        <v>187</v>
      </c>
      <c r="F528" s="4" t="s">
        <v>72</v>
      </c>
      <c r="G528" s="4" t="s">
        <v>817</v>
      </c>
      <c r="H528" s="5" t="s">
        <v>818</v>
      </c>
      <c r="I528" s="4" t="s">
        <v>819</v>
      </c>
      <c r="J528" s="4" t="s">
        <v>906</v>
      </c>
      <c r="K528" s="5" t="s">
        <v>907</v>
      </c>
      <c r="L528" s="4" t="n">
        <f aca="false">MAX(1,ROUND(34*Inputs!$B$6^(D528-1)/Inputs!$B$12,0))</f>
        <v>4</v>
      </c>
      <c r="M528" s="4"/>
      <c r="N528" s="4"/>
      <c r="O528" s="4" t="s">
        <v>787</v>
      </c>
      <c r="P528" s="5"/>
      <c r="Q528" s="4" t="s">
        <v>822</v>
      </c>
      <c r="R528" s="4" t="n">
        <v>1</v>
      </c>
      <c r="S528" s="4" t="s">
        <v>887</v>
      </c>
    </row>
    <row r="529" customFormat="false" ht="23.85" hidden="false" customHeight="false" outlineLevel="0" collapsed="false">
      <c r="A529" s="4" t="s">
        <v>781</v>
      </c>
      <c r="B529" s="4" t="n">
        <v>5</v>
      </c>
      <c r="C529" s="4" t="s">
        <v>172</v>
      </c>
      <c r="D529" s="4" t="n">
        <v>8</v>
      </c>
      <c r="E529" s="4" t="s">
        <v>189</v>
      </c>
      <c r="F529" s="4" t="s">
        <v>72</v>
      </c>
      <c r="G529" s="4" t="s">
        <v>824</v>
      </c>
      <c r="H529" s="5" t="s">
        <v>825</v>
      </c>
      <c r="I529" s="4" t="s">
        <v>363</v>
      </c>
      <c r="J529" s="4" t="s">
        <v>908</v>
      </c>
      <c r="K529" s="5" t="s">
        <v>907</v>
      </c>
      <c r="L529" s="4" t="n">
        <f aca="false">MAX(1,ROUND(34*Inputs!$B$6^(D529-1)/Inputs!$B$12,0))</f>
        <v>4</v>
      </c>
      <c r="M529" s="4"/>
      <c r="N529" s="4"/>
      <c r="O529" s="4" t="s">
        <v>787</v>
      </c>
      <c r="P529" s="5"/>
      <c r="Q529" s="4" t="s">
        <v>827</v>
      </c>
      <c r="R529" s="4" t="n">
        <v>0.1</v>
      </c>
      <c r="S529" s="4" t="s">
        <v>889</v>
      </c>
    </row>
    <row r="530" customFormat="false" ht="15" hidden="false" customHeight="false" outlineLevel="0" collapsed="false">
      <c r="A530" s="4" t="s">
        <v>781</v>
      </c>
      <c r="B530" s="4" t="n">
        <v>5</v>
      </c>
      <c r="C530" s="4" t="s">
        <v>172</v>
      </c>
      <c r="D530" s="4" t="n">
        <v>9</v>
      </c>
      <c r="E530" s="4" t="s">
        <v>191</v>
      </c>
      <c r="F530" s="4" t="s">
        <v>72</v>
      </c>
      <c r="G530" s="4" t="s">
        <v>829</v>
      </c>
      <c r="H530" s="5" t="s">
        <v>830</v>
      </c>
      <c r="I530" s="4" t="s">
        <v>831</v>
      </c>
      <c r="J530" s="4" t="s">
        <v>909</v>
      </c>
      <c r="K530" s="5" t="s">
        <v>910</v>
      </c>
      <c r="L530" s="4" t="n">
        <f aca="false">MAX(1,ROUND(34*Inputs!$B$6^(D530-1)/Inputs!$B$12,0))</f>
        <v>5</v>
      </c>
      <c r="M530" s="4"/>
      <c r="N530" s="4"/>
      <c r="O530" s="4" t="s">
        <v>787</v>
      </c>
      <c r="P530" s="5"/>
      <c r="Q530" s="4" t="s">
        <v>834</v>
      </c>
      <c r="R530" s="4" t="n">
        <v>0.1</v>
      </c>
      <c r="S530" s="4" t="s">
        <v>890</v>
      </c>
    </row>
    <row r="531" customFormat="false" ht="23.85" hidden="false" customHeight="false" outlineLevel="0" collapsed="false">
      <c r="A531" s="6" t="s">
        <v>781</v>
      </c>
      <c r="B531" s="6" t="n">
        <v>5</v>
      </c>
      <c r="C531" s="6" t="s">
        <v>172</v>
      </c>
      <c r="D531" s="6" t="n">
        <v>10</v>
      </c>
      <c r="E531" s="6" t="s">
        <v>193</v>
      </c>
      <c r="F531" s="6" t="s">
        <v>87</v>
      </c>
      <c r="G531" s="6" t="s">
        <v>911</v>
      </c>
      <c r="H531" s="7" t="s">
        <v>912</v>
      </c>
      <c r="I531" s="6" t="s">
        <v>90</v>
      </c>
      <c r="J531" s="6"/>
      <c r="K531" s="7" t="s">
        <v>910</v>
      </c>
      <c r="L531" s="6" t="n">
        <f aca="false">MAX(1,ROUND(34*Inputs!$B$6^(D531-1)/Inputs!$B$12,0))</f>
        <v>6</v>
      </c>
      <c r="M531" s="6" t="s">
        <v>497</v>
      </c>
      <c r="N531" s="6" t="n">
        <v>2</v>
      </c>
      <c r="O531" s="6" t="s">
        <v>787</v>
      </c>
      <c r="P531" s="7"/>
      <c r="Q531" s="6" t="s">
        <v>913</v>
      </c>
      <c r="R531" s="8" t="b">
        <f aca="false">TRUE()</f>
        <v>1</v>
      </c>
      <c r="S531" s="6" t="s">
        <v>93</v>
      </c>
    </row>
    <row r="532" customFormat="false" ht="23.85" hidden="false" customHeight="false" outlineLevel="0" collapsed="false">
      <c r="A532" s="2" t="s">
        <v>781</v>
      </c>
      <c r="B532" s="2" t="n">
        <v>6</v>
      </c>
      <c r="C532" s="2" t="s">
        <v>198</v>
      </c>
      <c r="D532" s="2" t="n">
        <v>1</v>
      </c>
      <c r="E532" s="2" t="s">
        <v>199</v>
      </c>
      <c r="F532" s="2" t="s">
        <v>22</v>
      </c>
      <c r="G532" s="2" t="s">
        <v>782</v>
      </c>
      <c r="H532" s="3" t="s">
        <v>783</v>
      </c>
      <c r="I532" s="2" t="s">
        <v>914</v>
      </c>
      <c r="J532" s="2" t="s">
        <v>915</v>
      </c>
      <c r="K532" s="3" t="s">
        <v>916</v>
      </c>
      <c r="L532" s="2" t="n">
        <f aca="false">MAX(1,ROUND(40*Inputs!$B$6^(D532-1)/Inputs!$B$12,0))</f>
        <v>2</v>
      </c>
      <c r="M532" s="2"/>
      <c r="N532" s="2"/>
      <c r="O532" s="2" t="s">
        <v>787</v>
      </c>
      <c r="P532" s="3"/>
      <c r="Q532" s="2" t="s">
        <v>788</v>
      </c>
      <c r="R532" s="2" t="n">
        <v>100</v>
      </c>
      <c r="S532" s="2" t="s">
        <v>896</v>
      </c>
    </row>
    <row r="533" customFormat="false" ht="15" hidden="false" customHeight="false" outlineLevel="0" collapsed="false">
      <c r="A533" s="2" t="s">
        <v>781</v>
      </c>
      <c r="B533" s="2" t="n">
        <v>6</v>
      </c>
      <c r="C533" s="2" t="s">
        <v>198</v>
      </c>
      <c r="D533" s="2" t="n">
        <v>2</v>
      </c>
      <c r="E533" s="2" t="s">
        <v>203</v>
      </c>
      <c r="F533" s="2" t="s">
        <v>22</v>
      </c>
      <c r="G533" s="2" t="s">
        <v>790</v>
      </c>
      <c r="H533" s="3" t="s">
        <v>791</v>
      </c>
      <c r="I533" s="2" t="s">
        <v>917</v>
      </c>
      <c r="J533" s="2" t="s">
        <v>918</v>
      </c>
      <c r="K533" s="3" t="s">
        <v>916</v>
      </c>
      <c r="L533" s="2" t="n">
        <f aca="false">MAX(1,ROUND(40*Inputs!$B$6^(D533-1)/Inputs!$B$12,0))</f>
        <v>2</v>
      </c>
      <c r="M533" s="2"/>
      <c r="N533" s="2"/>
      <c r="O533" s="2" t="s">
        <v>787</v>
      </c>
      <c r="P533" s="3"/>
      <c r="Q533" s="2" t="s">
        <v>794</v>
      </c>
      <c r="R533" s="2" t="n">
        <v>12</v>
      </c>
      <c r="S533" s="2" t="s">
        <v>899</v>
      </c>
    </row>
    <row r="534" customFormat="false" ht="15" hidden="false" customHeight="false" outlineLevel="0" collapsed="false">
      <c r="A534" s="2" t="s">
        <v>781</v>
      </c>
      <c r="B534" s="2" t="n">
        <v>6</v>
      </c>
      <c r="C534" s="2" t="s">
        <v>198</v>
      </c>
      <c r="D534" s="2" t="n">
        <v>3</v>
      </c>
      <c r="E534" s="2" t="s">
        <v>205</v>
      </c>
      <c r="F534" s="2" t="s">
        <v>22</v>
      </c>
      <c r="G534" s="2" t="s">
        <v>796</v>
      </c>
      <c r="H534" s="3" t="s">
        <v>797</v>
      </c>
      <c r="I534" s="2" t="s">
        <v>798</v>
      </c>
      <c r="J534" s="2" t="s">
        <v>919</v>
      </c>
      <c r="K534" s="3" t="s">
        <v>920</v>
      </c>
      <c r="L534" s="2" t="n">
        <f aca="false">MAX(1,ROUND(40*Inputs!$B$6^(D534-1)/Inputs!$B$12,0))</f>
        <v>3</v>
      </c>
      <c r="M534" s="2"/>
      <c r="N534" s="2"/>
      <c r="O534" s="2" t="s">
        <v>787</v>
      </c>
      <c r="P534" s="3"/>
      <c r="Q534" s="2" t="s">
        <v>801</v>
      </c>
      <c r="R534" s="2" t="n">
        <v>0.5</v>
      </c>
      <c r="S534" s="2" t="s">
        <v>902</v>
      </c>
    </row>
    <row r="535" customFormat="false" ht="15" hidden="false" customHeight="false" outlineLevel="0" collapsed="false">
      <c r="A535" s="2" t="s">
        <v>781</v>
      </c>
      <c r="B535" s="2" t="n">
        <v>6</v>
      </c>
      <c r="C535" s="2" t="s">
        <v>198</v>
      </c>
      <c r="D535" s="2" t="n">
        <v>4</v>
      </c>
      <c r="E535" s="2" t="s">
        <v>207</v>
      </c>
      <c r="F535" s="2" t="s">
        <v>22</v>
      </c>
      <c r="G535" s="2" t="s">
        <v>796</v>
      </c>
      <c r="H535" s="3" t="s">
        <v>797</v>
      </c>
      <c r="I535" s="2" t="s">
        <v>798</v>
      </c>
      <c r="J535" s="2" t="s">
        <v>921</v>
      </c>
      <c r="K535" s="3" t="s">
        <v>920</v>
      </c>
      <c r="L535" s="2" t="n">
        <f aca="false">MAX(1,ROUND(40*Inputs!$B$6^(D535-1)/Inputs!$B$12,0))</f>
        <v>3</v>
      </c>
      <c r="M535" s="2"/>
      <c r="N535" s="2"/>
      <c r="O535" s="2" t="s">
        <v>787</v>
      </c>
      <c r="P535" s="3"/>
      <c r="Q535" s="2" t="s">
        <v>801</v>
      </c>
      <c r="R535" s="2" t="n">
        <v>0.5</v>
      </c>
      <c r="S535" s="2" t="s">
        <v>919</v>
      </c>
    </row>
    <row r="536" customFormat="false" ht="15" hidden="false" customHeight="false" outlineLevel="0" collapsed="false">
      <c r="A536" s="2" t="s">
        <v>781</v>
      </c>
      <c r="B536" s="2" t="n">
        <v>6</v>
      </c>
      <c r="C536" s="2" t="s">
        <v>198</v>
      </c>
      <c r="D536" s="2" t="n">
        <v>5</v>
      </c>
      <c r="E536" s="2" t="s">
        <v>209</v>
      </c>
      <c r="F536" s="2" t="s">
        <v>22</v>
      </c>
      <c r="G536" s="2" t="s">
        <v>804</v>
      </c>
      <c r="H536" s="3" t="s">
        <v>805</v>
      </c>
      <c r="I536" s="2" t="s">
        <v>806</v>
      </c>
      <c r="J536" s="2" t="s">
        <v>922</v>
      </c>
      <c r="K536" s="3" t="s">
        <v>923</v>
      </c>
      <c r="L536" s="2" t="n">
        <f aca="false">MAX(1,ROUND(40*Inputs!$B$6^(D536-1)/Inputs!$B$12,0))</f>
        <v>3</v>
      </c>
      <c r="M536" s="2"/>
      <c r="N536" s="2"/>
      <c r="O536" s="2" t="s">
        <v>787</v>
      </c>
      <c r="P536" s="3"/>
      <c r="Q536" s="2" t="s">
        <v>809</v>
      </c>
      <c r="R536" s="2" t="n">
        <v>5</v>
      </c>
      <c r="S536" s="2" t="s">
        <v>903</v>
      </c>
    </row>
    <row r="537" customFormat="false" ht="35.05" hidden="false" customHeight="false" outlineLevel="0" collapsed="false">
      <c r="A537" s="2" t="s">
        <v>781</v>
      </c>
      <c r="B537" s="2" t="n">
        <v>6</v>
      </c>
      <c r="C537" s="2" t="s">
        <v>198</v>
      </c>
      <c r="D537" s="2" t="n">
        <v>6</v>
      </c>
      <c r="E537" s="2" t="s">
        <v>211</v>
      </c>
      <c r="F537" s="2" t="s">
        <v>22</v>
      </c>
      <c r="G537" s="2" t="s">
        <v>811</v>
      </c>
      <c r="H537" s="3" t="s">
        <v>812</v>
      </c>
      <c r="I537" s="2" t="s">
        <v>813</v>
      </c>
      <c r="J537" s="2" t="s">
        <v>924</v>
      </c>
      <c r="K537" s="3" t="s">
        <v>923</v>
      </c>
      <c r="L537" s="2" t="n">
        <f aca="false">MAX(1,ROUND(40*Inputs!$B$6^(D537-1)/Inputs!$B$12,0))</f>
        <v>4</v>
      </c>
      <c r="M537" s="2"/>
      <c r="N537" s="2"/>
      <c r="O537" s="2" t="s">
        <v>787</v>
      </c>
      <c r="P537" s="3"/>
      <c r="Q537" s="2" t="s">
        <v>815</v>
      </c>
      <c r="R537" s="2" t="n">
        <v>0.01</v>
      </c>
      <c r="S537" s="2" t="s">
        <v>905</v>
      </c>
    </row>
    <row r="538" customFormat="false" ht="15" hidden="false" customHeight="false" outlineLevel="0" collapsed="false">
      <c r="A538" s="4" t="s">
        <v>781</v>
      </c>
      <c r="B538" s="4" t="n">
        <v>6</v>
      </c>
      <c r="C538" s="4" t="s">
        <v>198</v>
      </c>
      <c r="D538" s="4" t="n">
        <v>7</v>
      </c>
      <c r="E538" s="4" t="s">
        <v>213</v>
      </c>
      <c r="F538" s="4" t="s">
        <v>72</v>
      </c>
      <c r="G538" s="4" t="s">
        <v>817</v>
      </c>
      <c r="H538" s="5" t="s">
        <v>818</v>
      </c>
      <c r="I538" s="4" t="s">
        <v>819</v>
      </c>
      <c r="J538" s="4" t="s">
        <v>925</v>
      </c>
      <c r="K538" s="5" t="s">
        <v>926</v>
      </c>
      <c r="L538" s="4" t="n">
        <f aca="false">MAX(1,ROUND(40*Inputs!$B$6^(D538-1)/Inputs!$B$12,0))</f>
        <v>5</v>
      </c>
      <c r="M538" s="4"/>
      <c r="N538" s="4"/>
      <c r="O538" s="4" t="s">
        <v>787</v>
      </c>
      <c r="P538" s="5"/>
      <c r="Q538" s="4" t="s">
        <v>822</v>
      </c>
      <c r="R538" s="4" t="n">
        <v>1</v>
      </c>
      <c r="S538" s="4" t="s">
        <v>906</v>
      </c>
    </row>
    <row r="539" customFormat="false" ht="23.85" hidden="false" customHeight="false" outlineLevel="0" collapsed="false">
      <c r="A539" s="4" t="s">
        <v>781</v>
      </c>
      <c r="B539" s="4" t="n">
        <v>6</v>
      </c>
      <c r="C539" s="4" t="s">
        <v>198</v>
      </c>
      <c r="D539" s="4" t="n">
        <v>8</v>
      </c>
      <c r="E539" s="4" t="s">
        <v>215</v>
      </c>
      <c r="F539" s="4" t="s">
        <v>72</v>
      </c>
      <c r="G539" s="4" t="s">
        <v>824</v>
      </c>
      <c r="H539" s="5" t="s">
        <v>825</v>
      </c>
      <c r="I539" s="4" t="s">
        <v>363</v>
      </c>
      <c r="J539" s="4" t="s">
        <v>927</v>
      </c>
      <c r="K539" s="5" t="s">
        <v>926</v>
      </c>
      <c r="L539" s="4" t="n">
        <f aca="false">MAX(1,ROUND(40*Inputs!$B$6^(D539-1)/Inputs!$B$12,0))</f>
        <v>5</v>
      </c>
      <c r="M539" s="4"/>
      <c r="N539" s="4"/>
      <c r="O539" s="4" t="s">
        <v>787</v>
      </c>
      <c r="P539" s="5"/>
      <c r="Q539" s="4" t="s">
        <v>827</v>
      </c>
      <c r="R539" s="4" t="n">
        <v>0.1</v>
      </c>
      <c r="S539" s="4" t="s">
        <v>908</v>
      </c>
    </row>
    <row r="540" customFormat="false" ht="15" hidden="false" customHeight="false" outlineLevel="0" collapsed="false">
      <c r="A540" s="4" t="s">
        <v>781</v>
      </c>
      <c r="B540" s="4" t="n">
        <v>6</v>
      </c>
      <c r="C540" s="4" t="s">
        <v>198</v>
      </c>
      <c r="D540" s="4" t="n">
        <v>9</v>
      </c>
      <c r="E540" s="4" t="s">
        <v>217</v>
      </c>
      <c r="F540" s="4" t="s">
        <v>72</v>
      </c>
      <c r="G540" s="4" t="s">
        <v>829</v>
      </c>
      <c r="H540" s="5" t="s">
        <v>830</v>
      </c>
      <c r="I540" s="4" t="s">
        <v>831</v>
      </c>
      <c r="J540" s="4" t="s">
        <v>928</v>
      </c>
      <c r="K540" s="5" t="s">
        <v>929</v>
      </c>
      <c r="L540" s="4" t="n">
        <f aca="false">MAX(1,ROUND(40*Inputs!$B$6^(D540-1)/Inputs!$B$12,0))</f>
        <v>6</v>
      </c>
      <c r="M540" s="4"/>
      <c r="N540" s="4"/>
      <c r="O540" s="4" t="s">
        <v>787</v>
      </c>
      <c r="P540" s="5"/>
      <c r="Q540" s="4" t="s">
        <v>834</v>
      </c>
      <c r="R540" s="4" t="n">
        <v>0.1</v>
      </c>
      <c r="S540" s="4" t="s">
        <v>909</v>
      </c>
    </row>
    <row r="541" customFormat="false" ht="15" hidden="false" customHeight="false" outlineLevel="0" collapsed="false">
      <c r="A541" s="6" t="s">
        <v>781</v>
      </c>
      <c r="B541" s="6" t="n">
        <v>6</v>
      </c>
      <c r="C541" s="6" t="s">
        <v>198</v>
      </c>
      <c r="D541" s="6" t="n">
        <v>10</v>
      </c>
      <c r="E541" s="6" t="s">
        <v>219</v>
      </c>
      <c r="F541" s="6" t="s">
        <v>87</v>
      </c>
      <c r="G541" s="6" t="s">
        <v>930</v>
      </c>
      <c r="H541" s="7" t="s">
        <v>931</v>
      </c>
      <c r="I541" s="6" t="s">
        <v>90</v>
      </c>
      <c r="J541" s="6"/>
      <c r="K541" s="7" t="s">
        <v>929</v>
      </c>
      <c r="L541" s="6" t="n">
        <f aca="false">MAX(1,ROUND(40*Inputs!$B$6^(D541-1)/Inputs!$B$12,0))</f>
        <v>7</v>
      </c>
      <c r="M541" s="6" t="s">
        <v>508</v>
      </c>
      <c r="N541" s="6" t="n">
        <v>2</v>
      </c>
      <c r="O541" s="6" t="s">
        <v>787</v>
      </c>
      <c r="P541" s="7"/>
      <c r="Q541" s="6" t="s">
        <v>932</v>
      </c>
      <c r="R541" s="8" t="b">
        <f aca="false">TRUE()</f>
        <v>1</v>
      </c>
      <c r="S541" s="6" t="s">
        <v>93</v>
      </c>
    </row>
  </sheetData>
  <autoFilter ref="A1:S5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40"/>
    <col collapsed="false" customWidth="true" hidden="false" outlineLevel="0" max="3" min="3" style="0" width="20"/>
    <col collapsed="false" customWidth="true" hidden="false" outlineLevel="0" max="4" min="4" style="0" width="58"/>
  </cols>
  <sheetData>
    <row r="1" customFormat="false" ht="15" hidden="false" customHeight="false" outlineLevel="0" collapsed="false">
      <c r="A1" s="9" t="s">
        <v>933</v>
      </c>
    </row>
    <row r="4" customFormat="false" ht="15" hidden="false" customHeight="false" outlineLevel="0" collapsed="false">
      <c r="A4" s="10" t="s">
        <v>934</v>
      </c>
      <c r="B4" s="11" t="n">
        <v>2</v>
      </c>
    </row>
    <row r="5" customFormat="false" ht="15" hidden="false" customHeight="false" outlineLevel="0" collapsed="false">
      <c r="A5" s="10" t="s">
        <v>935</v>
      </c>
      <c r="B5" s="11" t="n">
        <v>1.1</v>
      </c>
    </row>
    <row r="6" customFormat="false" ht="15" hidden="false" customHeight="false" outlineLevel="0" collapsed="false">
      <c r="A6" s="10" t="s">
        <v>936</v>
      </c>
      <c r="B6" s="11" t="n">
        <v>1.15</v>
      </c>
    </row>
    <row r="7" customFormat="false" ht="15" hidden="false" customHeight="false" outlineLevel="0" collapsed="false">
      <c r="A7" s="10" t="s">
        <v>937</v>
      </c>
      <c r="B7" s="11" t="n">
        <v>1.25</v>
      </c>
    </row>
    <row r="8" customFormat="false" ht="15" hidden="false" customHeight="false" outlineLevel="0" collapsed="false">
      <c r="A8" s="10" t="s">
        <v>938</v>
      </c>
      <c r="B8" s="11" t="n">
        <v>2</v>
      </c>
    </row>
    <row r="9" customFormat="false" ht="15" hidden="false" customHeight="false" outlineLevel="0" collapsed="false">
      <c r="A9" s="10" t="s">
        <v>939</v>
      </c>
      <c r="B9" s="11" t="n">
        <v>10</v>
      </c>
    </row>
    <row r="10" customFormat="false" ht="15" hidden="false" customHeight="false" outlineLevel="0" collapsed="false">
      <c r="A10" s="10" t="s">
        <v>940</v>
      </c>
      <c r="B10" s="11" t="n">
        <v>1.5</v>
      </c>
    </row>
    <row r="12" customFormat="false" ht="15" hidden="false" customHeight="false" outlineLevel="0" collapsed="false">
      <c r="A12" s="10" t="s">
        <v>941</v>
      </c>
      <c r="B12" s="12" t="n">
        <f aca="false">(B6^10-1)/(B6-1)</f>
        <v>20.3037182380527</v>
      </c>
    </row>
    <row r="14" customFormat="false" ht="15" hidden="false" customHeight="false" outlineLevel="0" collapsed="false">
      <c r="A14" s="13" t="s">
        <v>14</v>
      </c>
      <c r="B14" s="13" t="s">
        <v>942</v>
      </c>
      <c r="C14" s="13" t="s">
        <v>943</v>
      </c>
      <c r="D14" s="13" t="s">
        <v>944</v>
      </c>
    </row>
    <row r="15" customFormat="false" ht="15" hidden="false" customHeight="false" outlineLevel="0" collapsed="false">
      <c r="A15" s="10" t="s">
        <v>28</v>
      </c>
      <c r="B15" s="10" t="s">
        <v>945</v>
      </c>
      <c r="C15" s="11" t="n">
        <v>570</v>
      </c>
      <c r="D15" s="10" t="s">
        <v>946</v>
      </c>
    </row>
    <row r="16" customFormat="false" ht="15" hidden="false" customHeight="false" outlineLevel="0" collapsed="false">
      <c r="A16" s="10" t="s">
        <v>339</v>
      </c>
      <c r="B16" s="10" t="s">
        <v>947</v>
      </c>
      <c r="C16" s="11" t="n">
        <v>930</v>
      </c>
      <c r="D16" s="10" t="s">
        <v>948</v>
      </c>
    </row>
    <row r="17" customFormat="false" ht="15" hidden="false" customHeight="false" outlineLevel="0" collapsed="false">
      <c r="A17" s="10" t="s">
        <v>427</v>
      </c>
      <c r="B17" s="10" t="s">
        <v>949</v>
      </c>
      <c r="C17" s="11" t="n">
        <v>375</v>
      </c>
      <c r="D17" s="10" t="s">
        <v>950</v>
      </c>
    </row>
    <row r="18" customFormat="false" ht="15" hidden="false" customHeight="false" outlineLevel="0" collapsed="false">
      <c r="A18" s="10" t="s">
        <v>513</v>
      </c>
      <c r="B18" s="10" t="s">
        <v>951</v>
      </c>
      <c r="C18" s="11" t="n">
        <v>210</v>
      </c>
      <c r="D18" s="10" t="s">
        <v>952</v>
      </c>
    </row>
    <row r="19" customFormat="false" ht="15" hidden="false" customHeight="false" outlineLevel="0" collapsed="false">
      <c r="A19" s="10" t="s">
        <v>588</v>
      </c>
      <c r="B19" s="10" t="s">
        <v>953</v>
      </c>
      <c r="C19" s="11" t="n">
        <v>330</v>
      </c>
      <c r="D19" s="10" t="s">
        <v>954</v>
      </c>
    </row>
    <row r="20" customFormat="false" ht="15" hidden="false" customHeight="false" outlineLevel="0" collapsed="false">
      <c r="A20" s="10" t="s">
        <v>668</v>
      </c>
      <c r="B20" s="10" t="s">
        <v>955</v>
      </c>
      <c r="C20" s="11" t="n">
        <v>4500</v>
      </c>
      <c r="D20" s="10" t="s">
        <v>956</v>
      </c>
    </row>
    <row r="21" customFormat="false" ht="15" hidden="false" customHeight="false" outlineLevel="0" collapsed="false">
      <c r="A21" s="10" t="s">
        <v>731</v>
      </c>
      <c r="B21" s="10" t="s">
        <v>957</v>
      </c>
      <c r="C21" s="11" t="n">
        <v>420</v>
      </c>
      <c r="D21" s="10" t="s">
        <v>958</v>
      </c>
    </row>
    <row r="22" customFormat="false" ht="15" hidden="false" customHeight="false" outlineLevel="0" collapsed="false">
      <c r="A22" s="10" t="s">
        <v>787</v>
      </c>
      <c r="B22" s="10" t="s">
        <v>959</v>
      </c>
      <c r="C22" s="11" t="n">
        <v>82</v>
      </c>
      <c r="D22" s="10" t="s">
        <v>960</v>
      </c>
    </row>
    <row r="23" customFormat="false" ht="15" hidden="false" customHeight="false" outlineLevel="0" collapsed="false">
      <c r="A23" s="10" t="s">
        <v>44</v>
      </c>
      <c r="B23" s="10" t="s">
        <v>961</v>
      </c>
      <c r="C23" s="11" t="n">
        <v>0</v>
      </c>
      <c r="D23" s="10" t="s">
        <v>962</v>
      </c>
    </row>
    <row r="25" customFormat="false" ht="15" hidden="false" customHeight="false" outlineLevel="0" collapsed="false">
      <c r="A25" s="14" t="s">
        <v>963</v>
      </c>
    </row>
    <row r="26" customFormat="false" ht="15" hidden="false" customHeight="false" outlineLevel="0" collapsed="false">
      <c r="A26" s="14" t="s">
        <v>964</v>
      </c>
    </row>
    <row r="27" customFormat="false" ht="15" hidden="false" customHeight="false" outlineLevel="0" collapsed="false">
      <c r="A27" s="14" t="s">
        <v>965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15" t="s">
        <v>966</v>
      </c>
    </row>
    <row r="2" customFormat="false" ht="15" hidden="false" customHeight="false" outlineLevel="0" collapsed="false">
      <c r="A2" s="10"/>
    </row>
    <row r="3" customFormat="false" ht="15" hidden="false" customHeight="false" outlineLevel="0" collapsed="false">
      <c r="A3" s="16" t="s">
        <v>967</v>
      </c>
    </row>
    <row r="4" customFormat="false" ht="15" hidden="false" customHeight="false" outlineLevel="0" collapsed="false">
      <c r="A4" s="10" t="s">
        <v>968</v>
      </c>
    </row>
    <row r="5" customFormat="false" ht="15" hidden="false" customHeight="false" outlineLevel="0" collapsed="false">
      <c r="A5" s="10" t="s">
        <v>969</v>
      </c>
    </row>
    <row r="6" customFormat="false" ht="15" hidden="false" customHeight="false" outlineLevel="0" collapsed="false">
      <c r="A6" s="10" t="s">
        <v>970</v>
      </c>
    </row>
    <row r="7" customFormat="false" ht="15" hidden="false" customHeight="false" outlineLevel="0" collapsed="false">
      <c r="A7" s="10"/>
    </row>
    <row r="8" customFormat="false" ht="15" hidden="false" customHeight="false" outlineLevel="0" collapsed="false">
      <c r="A8" s="16" t="s">
        <v>971</v>
      </c>
    </row>
    <row r="9" customFormat="false" ht="15" hidden="false" customHeight="false" outlineLevel="0" collapsed="false">
      <c r="A9" s="10" t="s">
        <v>972</v>
      </c>
    </row>
    <row r="10" customFormat="false" ht="15" hidden="false" customHeight="false" outlineLevel="0" collapsed="false">
      <c r="A10" s="10" t="s">
        <v>973</v>
      </c>
    </row>
    <row r="11" customFormat="false" ht="15" hidden="false" customHeight="false" outlineLevel="0" collapsed="false">
      <c r="A11" s="10" t="s">
        <v>974</v>
      </c>
    </row>
    <row r="12" customFormat="false" ht="15" hidden="false" customHeight="false" outlineLevel="0" collapsed="false">
      <c r="A12" s="10"/>
    </row>
    <row r="13" customFormat="false" ht="15" hidden="false" customHeight="false" outlineLevel="0" collapsed="false">
      <c r="A13" s="10" t="s">
        <v>975</v>
      </c>
    </row>
    <row r="14" customFormat="false" ht="15" hidden="false" customHeight="false" outlineLevel="0" collapsed="false">
      <c r="A14" s="10" t="s">
        <v>976</v>
      </c>
    </row>
    <row r="15" customFormat="false" ht="15" hidden="false" customHeight="false" outlineLevel="0" collapsed="false">
      <c r="A15" s="10" t="s">
        <v>977</v>
      </c>
    </row>
    <row r="16" customFormat="false" ht="15" hidden="false" customHeight="false" outlineLevel="0" collapsed="false">
      <c r="A16" s="10"/>
    </row>
    <row r="17" customFormat="false" ht="15" hidden="false" customHeight="false" outlineLevel="0" collapsed="false">
      <c r="A17" s="10" t="s">
        <v>978</v>
      </c>
    </row>
    <row r="18" customFormat="false" ht="15" hidden="false" customHeight="false" outlineLevel="0" collapsed="false">
      <c r="A18" s="10" t="s">
        <v>979</v>
      </c>
    </row>
    <row r="19" customFormat="false" ht="15" hidden="false" customHeight="false" outlineLevel="0" collapsed="false">
      <c r="A19" s="10" t="s">
        <v>980</v>
      </c>
    </row>
    <row r="20" customFormat="false" ht="15" hidden="false" customHeight="false" outlineLevel="0" collapsed="false">
      <c r="A20" s="10" t="s">
        <v>981</v>
      </c>
    </row>
    <row r="21" customFormat="false" ht="15" hidden="false" customHeight="false" outlineLevel="0" collapsed="false">
      <c r="A21" s="10"/>
    </row>
    <row r="22" customFormat="false" ht="15" hidden="false" customHeight="false" outlineLevel="0" collapsed="false">
      <c r="A22" s="16" t="s">
        <v>982</v>
      </c>
    </row>
    <row r="23" customFormat="false" ht="15" hidden="false" customHeight="false" outlineLevel="0" collapsed="false">
      <c r="A23" s="10" t="s">
        <v>983</v>
      </c>
    </row>
    <row r="24" customFormat="false" ht="15" hidden="false" customHeight="false" outlineLevel="0" collapsed="false">
      <c r="A24" s="10" t="s">
        <v>984</v>
      </c>
    </row>
    <row r="25" customFormat="false" ht="15" hidden="false" customHeight="false" outlineLevel="0" collapsed="false">
      <c r="A25" s="10" t="s">
        <v>985</v>
      </c>
    </row>
    <row r="26" customFormat="false" ht="15" hidden="false" customHeight="false" outlineLevel="0" collapsed="false">
      <c r="A26" s="10"/>
    </row>
    <row r="27" customFormat="false" ht="15" hidden="false" customHeight="false" outlineLevel="0" collapsed="false">
      <c r="A27" s="10" t="s">
        <v>986</v>
      </c>
    </row>
    <row r="28" customFormat="false" ht="15" hidden="false" customHeight="false" outlineLevel="0" collapsed="false">
      <c r="A28" s="10" t="s">
        <v>987</v>
      </c>
    </row>
    <row r="29" customFormat="false" ht="15" hidden="false" customHeight="false" outlineLevel="0" collapsed="false">
      <c r="A29" s="10" t="s">
        <v>988</v>
      </c>
    </row>
    <row r="30" customFormat="false" ht="15" hidden="false" customHeight="false" outlineLevel="0" collapsed="false">
      <c r="A30" s="10" t="s">
        <v>989</v>
      </c>
    </row>
    <row r="31" customFormat="false" ht="15" hidden="false" customHeight="false" outlineLevel="0" collapsed="false">
      <c r="A31" s="10"/>
    </row>
    <row r="32" customFormat="false" ht="15" hidden="false" customHeight="false" outlineLevel="0" collapsed="false">
      <c r="A32" s="10" t="s">
        <v>990</v>
      </c>
    </row>
    <row r="33" customFormat="false" ht="15" hidden="false" customHeight="false" outlineLevel="0" collapsed="false">
      <c r="A33" s="10" t="s">
        <v>991</v>
      </c>
    </row>
    <row r="34" customFormat="false" ht="15" hidden="false" customHeight="false" outlineLevel="0" collapsed="false">
      <c r="A34" s="10" t="s">
        <v>992</v>
      </c>
    </row>
    <row r="35" customFormat="false" ht="15" hidden="false" customHeight="false" outlineLevel="0" collapsed="false">
      <c r="A35" s="10" t="s">
        <v>993</v>
      </c>
    </row>
    <row r="36" customFormat="false" ht="15" hidden="false" customHeight="false" outlineLevel="0" collapsed="false">
      <c r="A36" s="10" t="s">
        <v>994</v>
      </c>
    </row>
    <row r="37" customFormat="false" ht="15" hidden="false" customHeight="false" outlineLevel="0" collapsed="false">
      <c r="A37" s="10" t="s">
        <v>995</v>
      </c>
    </row>
    <row r="38" customFormat="false" ht="15" hidden="false" customHeight="false" outlineLevel="0" collapsed="false">
      <c r="A38" s="10" t="s">
        <v>996</v>
      </c>
    </row>
    <row r="39" customFormat="false" ht="15" hidden="false" customHeight="false" outlineLevel="0" collapsed="false">
      <c r="A39" s="10"/>
    </row>
    <row r="40" customFormat="false" ht="15" hidden="false" customHeight="false" outlineLevel="0" collapsed="false">
      <c r="A40" s="10" t="s">
        <v>997</v>
      </c>
    </row>
    <row r="41" customFormat="false" ht="15" hidden="false" customHeight="false" outlineLevel="0" collapsed="false">
      <c r="A41" s="10" t="s">
        <v>998</v>
      </c>
    </row>
    <row r="42" customFormat="false" ht="15" hidden="false" customHeight="false" outlineLevel="0" collapsed="false">
      <c r="A42" s="10" t="s">
        <v>999</v>
      </c>
    </row>
    <row r="43" customFormat="false" ht="15" hidden="false" customHeight="false" outlineLevel="0" collapsed="false">
      <c r="A43" s="10" t="s">
        <v>1000</v>
      </c>
    </row>
    <row r="44" customFormat="false" ht="15" hidden="false" customHeight="false" outlineLevel="0" collapsed="false">
      <c r="A44" s="10" t="s">
        <v>1001</v>
      </c>
    </row>
    <row r="45" customFormat="false" ht="15" hidden="false" customHeight="false" outlineLevel="0" collapsed="false">
      <c r="A45" s="10" t="s">
        <v>1002</v>
      </c>
    </row>
    <row r="46" customFormat="false" ht="15" hidden="false" customHeight="false" outlineLevel="0" collapsed="false">
      <c r="A46" s="10" t="s">
        <v>1003</v>
      </c>
    </row>
    <row r="47" customFormat="false" ht="15" hidden="false" customHeight="false" outlineLevel="0" collapsed="false">
      <c r="A47" s="10" t="s">
        <v>1004</v>
      </c>
    </row>
    <row r="48" customFormat="false" ht="15" hidden="false" customHeight="false" outlineLevel="0" collapsed="false">
      <c r="A48" s="10"/>
    </row>
    <row r="49" customFormat="false" ht="15" hidden="false" customHeight="false" outlineLevel="0" collapsed="false">
      <c r="A49" s="10" t="s">
        <v>1005</v>
      </c>
    </row>
    <row r="50" customFormat="false" ht="15" hidden="false" customHeight="false" outlineLevel="0" collapsed="false">
      <c r="A50" s="10" t="s">
        <v>1006</v>
      </c>
    </row>
    <row r="51" customFormat="false" ht="15" hidden="false" customHeight="false" outlineLevel="0" collapsed="false">
      <c r="A51" s="10" t="s">
        <v>1007</v>
      </c>
    </row>
    <row r="52" customFormat="false" ht="15" hidden="false" customHeight="false" outlineLevel="0" collapsed="false">
      <c r="A52" s="10" t="s">
        <v>1008</v>
      </c>
    </row>
    <row r="53" customFormat="false" ht="15" hidden="false" customHeight="false" outlineLevel="0" collapsed="false">
      <c r="A53" s="10" t="s">
        <v>1009</v>
      </c>
    </row>
    <row r="54" customFormat="false" ht="15" hidden="false" customHeight="false" outlineLevel="0" collapsed="false">
      <c r="A54" s="10" t="s">
        <v>1010</v>
      </c>
    </row>
    <row r="55" customFormat="false" ht="15" hidden="false" customHeight="false" outlineLevel="0" collapsed="false">
      <c r="A55" s="10"/>
    </row>
    <row r="56" customFormat="false" ht="15" hidden="false" customHeight="false" outlineLevel="0" collapsed="false">
      <c r="A56" s="10" t="s">
        <v>1011</v>
      </c>
    </row>
    <row r="57" customFormat="false" ht="15" hidden="false" customHeight="false" outlineLevel="0" collapsed="false">
      <c r="A57" s="10" t="s">
        <v>1012</v>
      </c>
    </row>
    <row r="58" customFormat="false" ht="15" hidden="false" customHeight="false" outlineLevel="0" collapsed="false">
      <c r="A58" s="10" t="s">
        <v>1013</v>
      </c>
    </row>
    <row r="59" customFormat="false" ht="15" hidden="false" customHeight="false" outlineLevel="0" collapsed="false">
      <c r="A59" s="10" t="s">
        <v>1014</v>
      </c>
    </row>
    <row r="60" customFormat="false" ht="15" hidden="false" customHeight="false" outlineLevel="0" collapsed="false">
      <c r="A60" s="10" t="s">
        <v>1015</v>
      </c>
    </row>
    <row r="61" customFormat="false" ht="15" hidden="false" customHeight="false" outlineLevel="0" collapsed="false">
      <c r="A61" s="10" t="s">
        <v>1016</v>
      </c>
    </row>
    <row r="62" customFormat="false" ht="15" hidden="false" customHeight="false" outlineLevel="0" collapsed="false">
      <c r="A62" s="10"/>
    </row>
    <row r="63" customFormat="false" ht="15" hidden="false" customHeight="false" outlineLevel="0" collapsed="false">
      <c r="A63" s="10" t="s">
        <v>1017</v>
      </c>
    </row>
    <row r="64" customFormat="false" ht="15" hidden="false" customHeight="false" outlineLevel="0" collapsed="false">
      <c r="A64" s="10" t="s">
        <v>1018</v>
      </c>
    </row>
    <row r="65" customFormat="false" ht="15" hidden="false" customHeight="false" outlineLevel="0" collapsed="false">
      <c r="A65" s="10" t="s">
        <v>1019</v>
      </c>
    </row>
    <row r="66" customFormat="false" ht="15" hidden="false" customHeight="false" outlineLevel="0" collapsed="false">
      <c r="A66" s="10" t="s">
        <v>1020</v>
      </c>
    </row>
    <row r="67" customFormat="false" ht="15" hidden="false" customHeight="false" outlineLevel="0" collapsed="false">
      <c r="A67" s="10" t="s">
        <v>1021</v>
      </c>
    </row>
    <row r="68" customFormat="false" ht="15" hidden="false" customHeight="false" outlineLevel="0" collapsed="false">
      <c r="A68" s="10"/>
    </row>
    <row r="69" customFormat="false" ht="15" hidden="false" customHeight="false" outlineLevel="0" collapsed="false">
      <c r="A69" s="10" t="s">
        <v>1022</v>
      </c>
    </row>
    <row r="70" customFormat="false" ht="15" hidden="false" customHeight="false" outlineLevel="0" collapsed="false">
      <c r="A70" s="10" t="s">
        <v>1023</v>
      </c>
    </row>
    <row r="71" customFormat="false" ht="15" hidden="false" customHeight="false" outlineLevel="0" collapsed="false">
      <c r="A71" s="10" t="s">
        <v>1024</v>
      </c>
    </row>
    <row r="72" customFormat="false" ht="15" hidden="false" customHeight="false" outlineLevel="0" collapsed="false">
      <c r="A72" s="10" t="s">
        <v>1025</v>
      </c>
    </row>
    <row r="73" customFormat="false" ht="15" hidden="false" customHeight="false" outlineLevel="0" collapsed="false">
      <c r="A73" s="10" t="s">
        <v>1026</v>
      </c>
    </row>
    <row r="74" customFormat="false" ht="15" hidden="false" customHeight="false" outlineLevel="0" collapsed="false">
      <c r="A74" s="10" t="s">
        <v>1027</v>
      </c>
    </row>
    <row r="75" customFormat="false" ht="15" hidden="false" customHeight="false" outlineLevel="0" collapsed="false">
      <c r="A75" s="10"/>
    </row>
    <row r="76" customFormat="false" ht="15" hidden="false" customHeight="false" outlineLevel="0" collapsed="false">
      <c r="A76" s="10" t="s">
        <v>1028</v>
      </c>
    </row>
    <row r="77" customFormat="false" ht="15" hidden="false" customHeight="false" outlineLevel="0" collapsed="false">
      <c r="A77" s="10" t="s">
        <v>1029</v>
      </c>
    </row>
    <row r="78" customFormat="false" ht="15" hidden="false" customHeight="false" outlineLevel="0" collapsed="false">
      <c r="A78" s="10" t="s">
        <v>1030</v>
      </c>
    </row>
    <row r="79" customFormat="false" ht="15" hidden="false" customHeight="false" outlineLevel="0" collapsed="false">
      <c r="A79" s="10" t="s">
        <v>1031</v>
      </c>
    </row>
    <row r="80" customFormat="false" ht="15" hidden="false" customHeight="false" outlineLevel="0" collapsed="false">
      <c r="A80" s="10"/>
    </row>
    <row r="81" customFormat="false" ht="15" hidden="false" customHeight="false" outlineLevel="0" collapsed="false">
      <c r="A81" s="10" t="s">
        <v>1032</v>
      </c>
    </row>
    <row r="82" customFormat="false" ht="15" hidden="false" customHeight="false" outlineLevel="0" collapsed="false">
      <c r="A82" s="10" t="s">
        <v>1033</v>
      </c>
    </row>
    <row r="83" customFormat="false" ht="15" hidden="false" customHeight="false" outlineLevel="0" collapsed="false">
      <c r="A83" s="10" t="s">
        <v>1034</v>
      </c>
    </row>
    <row r="84" customFormat="false" ht="15" hidden="false" customHeight="false" outlineLevel="0" collapsed="false">
      <c r="A84" s="10" t="s">
        <v>1035</v>
      </c>
    </row>
    <row r="85" customFormat="false" ht="15" hidden="false" customHeight="false" outlineLevel="0" collapsed="false">
      <c r="A85" s="10" t="s">
        <v>1036</v>
      </c>
    </row>
    <row r="86" customFormat="false" ht="15" hidden="false" customHeight="false" outlineLevel="0" collapsed="false">
      <c r="A86" s="10" t="s">
        <v>1037</v>
      </c>
    </row>
    <row r="87" customFormat="false" ht="15" hidden="false" customHeight="false" outlineLevel="0" collapsed="false">
      <c r="A87" s="10" t="s">
        <v>1038</v>
      </c>
    </row>
    <row r="88" customFormat="false" ht="15" hidden="false" customHeight="false" outlineLevel="0" collapsed="false">
      <c r="A88" s="10" t="s">
        <v>1039</v>
      </c>
    </row>
    <row r="89" customFormat="false" ht="15" hidden="false" customHeight="false" outlineLevel="0" collapsed="false">
      <c r="A89" s="10" t="s">
        <v>1040</v>
      </c>
    </row>
    <row r="90" customFormat="false" ht="15" hidden="false" customHeight="false" outlineLevel="0" collapsed="false">
      <c r="A90" s="10"/>
    </row>
    <row r="91" customFormat="false" ht="15" hidden="false" customHeight="false" outlineLevel="0" collapsed="false">
      <c r="A91" s="10" t="s">
        <v>1041</v>
      </c>
    </row>
    <row r="92" customFormat="false" ht="15" hidden="false" customHeight="false" outlineLevel="0" collapsed="false">
      <c r="A92" s="10" t="s">
        <v>1042</v>
      </c>
    </row>
    <row r="93" customFormat="false" ht="15" hidden="false" customHeight="false" outlineLevel="0" collapsed="false">
      <c r="A93" s="10" t="s">
        <v>1043</v>
      </c>
    </row>
    <row r="94" customFormat="false" ht="15" hidden="false" customHeight="false" outlineLevel="0" collapsed="false">
      <c r="A94" s="10" t="s">
        <v>1044</v>
      </c>
    </row>
    <row r="95" customFormat="false" ht="15" hidden="false" customHeight="false" outlineLevel="0" collapsed="false">
      <c r="A95" s="10"/>
    </row>
    <row r="96" customFormat="false" ht="15" hidden="false" customHeight="false" outlineLevel="0" collapsed="false">
      <c r="A96" s="10" t="s">
        <v>1045</v>
      </c>
    </row>
    <row r="97" customFormat="false" ht="15" hidden="false" customHeight="false" outlineLevel="0" collapsed="false">
      <c r="A97" s="10" t="s">
        <v>1046</v>
      </c>
    </row>
    <row r="98" customFormat="false" ht="15" hidden="false" customHeight="false" outlineLevel="0" collapsed="false">
      <c r="A98" s="10" t="s">
        <v>1047</v>
      </c>
    </row>
    <row r="99" customFormat="false" ht="15" hidden="false" customHeight="false" outlineLevel="0" collapsed="false">
      <c r="A99" s="10" t="s">
        <v>1048</v>
      </c>
    </row>
    <row r="100" customFormat="false" ht="15" hidden="false" customHeight="false" outlineLevel="0" collapsed="false">
      <c r="A100" s="10"/>
    </row>
    <row r="101" customFormat="false" ht="15" hidden="false" customHeight="false" outlineLevel="0" collapsed="false">
      <c r="A101" s="10" t="s">
        <v>1049</v>
      </c>
    </row>
    <row r="102" customFormat="false" ht="15" hidden="false" customHeight="false" outlineLevel="0" collapsed="false">
      <c r="A102" s="10" t="s">
        <v>1050</v>
      </c>
    </row>
    <row r="103" customFormat="false" ht="15" hidden="false" customHeight="false" outlineLevel="0" collapsed="false">
      <c r="A103" s="10" t="s">
        <v>1051</v>
      </c>
    </row>
    <row r="104" customFormat="false" ht="15" hidden="false" customHeight="false" outlineLevel="0" collapsed="false">
      <c r="A104" s="10" t="s">
        <v>1052</v>
      </c>
    </row>
    <row r="105" customFormat="false" ht="15" hidden="false" customHeight="false" outlineLevel="0" collapsed="false">
      <c r="A105" s="10" t="s">
        <v>1053</v>
      </c>
    </row>
    <row r="106" customFormat="false" ht="15" hidden="false" customHeight="false" outlineLevel="0" collapsed="false">
      <c r="A106" s="10" t="s">
        <v>1054</v>
      </c>
    </row>
    <row r="107" customFormat="false" ht="15" hidden="false" customHeight="false" outlineLevel="0" collapsed="false">
      <c r="A107" s="10" t="s">
        <v>1055</v>
      </c>
    </row>
    <row r="108" customFormat="false" ht="15" hidden="false" customHeight="false" outlineLevel="0" collapsed="false">
      <c r="A108" s="10" t="s">
        <v>1056</v>
      </c>
    </row>
    <row r="109" customFormat="false" ht="15" hidden="false" customHeight="false" outlineLevel="0" collapsed="false">
      <c r="A109" s="10"/>
    </row>
    <row r="110" customFormat="false" ht="15" hidden="false" customHeight="false" outlineLevel="0" collapsed="false">
      <c r="A110" s="10" t="s">
        <v>1057</v>
      </c>
    </row>
    <row r="111" customFormat="false" ht="15" hidden="false" customHeight="false" outlineLevel="0" collapsed="false">
      <c r="A111" s="10" t="s">
        <v>1058</v>
      </c>
    </row>
    <row r="112" customFormat="false" ht="15" hidden="false" customHeight="false" outlineLevel="0" collapsed="false">
      <c r="A112" s="10" t="s">
        <v>1059</v>
      </c>
    </row>
    <row r="113" customFormat="false" ht="15" hidden="false" customHeight="false" outlineLevel="0" collapsed="false">
      <c r="A113" s="10" t="s">
        <v>1060</v>
      </c>
    </row>
    <row r="114" customFormat="false" ht="15" hidden="false" customHeight="false" outlineLevel="0" collapsed="false">
      <c r="A114" s="10" t="s">
        <v>1061</v>
      </c>
    </row>
    <row r="115" customFormat="false" ht="15" hidden="false" customHeight="false" outlineLevel="0" collapsed="false">
      <c r="A115" s="10" t="s">
        <v>1062</v>
      </c>
    </row>
    <row r="116" customFormat="false" ht="15" hidden="false" customHeight="false" outlineLevel="0" collapsed="false">
      <c r="A116" s="10" t="s">
        <v>1063</v>
      </c>
    </row>
    <row r="117" customFormat="false" ht="15" hidden="false" customHeight="false" outlineLevel="0" collapsed="false">
      <c r="A117" s="10" t="s">
        <v>1064</v>
      </c>
    </row>
    <row r="118" customFormat="false" ht="15" hidden="false" customHeight="false" outlineLevel="0" collapsed="false">
      <c r="A118" s="10"/>
    </row>
    <row r="119" customFormat="false" ht="15" hidden="false" customHeight="false" outlineLevel="0" collapsed="false">
      <c r="A119" s="16" t="s">
        <v>1065</v>
      </c>
    </row>
    <row r="120" customFormat="false" ht="15" hidden="false" customHeight="false" outlineLevel="0" collapsed="false">
      <c r="A120" s="10" t="s">
        <v>1066</v>
      </c>
    </row>
    <row r="121" customFormat="false" ht="15" hidden="false" customHeight="false" outlineLevel="0" collapsed="false">
      <c r="A121" s="10" t="s">
        <v>1067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8" min="2" style="0" width="16"/>
  </cols>
  <sheetData>
    <row r="1" customFormat="false" ht="15" hidden="false" customHeight="false" outlineLevel="0" collapsed="false">
      <c r="A1" s="9" t="s">
        <v>1068</v>
      </c>
    </row>
    <row r="3" customFormat="false" ht="15" hidden="false" customHeight="false" outlineLevel="0" collapsed="false">
      <c r="A3" s="0" t="s">
        <v>1069</v>
      </c>
      <c r="B3" s="17" t="n">
        <v>100</v>
      </c>
    </row>
    <row r="4" customFormat="false" ht="15" hidden="false" customHeight="false" outlineLevel="0" collapsed="false">
      <c r="A4" s="0" t="s">
        <v>1070</v>
      </c>
      <c r="B4" s="17" t="n">
        <v>5</v>
      </c>
    </row>
    <row r="5" customFormat="false" ht="15" hidden="false" customHeight="false" outlineLevel="0" collapsed="false">
      <c r="A5" s="0" t="s">
        <v>1071</v>
      </c>
      <c r="B5" s="17" t="n">
        <v>100</v>
      </c>
    </row>
    <row r="7" customFormat="false" ht="45" hidden="false" customHeight="true" outlineLevel="0" collapsed="false">
      <c r="A7" s="18" t="s">
        <v>1</v>
      </c>
      <c r="B7" s="18" t="s">
        <v>1072</v>
      </c>
      <c r="C7" s="18" t="s">
        <v>1073</v>
      </c>
      <c r="D7" s="18" t="s">
        <v>1074</v>
      </c>
      <c r="E7" s="18" t="s">
        <v>1075</v>
      </c>
      <c r="F7" s="18" t="s">
        <v>1076</v>
      </c>
      <c r="G7" s="18" t="s">
        <v>1077</v>
      </c>
      <c r="H7" s="18" t="s">
        <v>1076</v>
      </c>
    </row>
    <row r="8" customFormat="false" ht="15" hidden="false" customHeight="false" outlineLevel="0" collapsed="false">
      <c r="A8" s="10" t="n">
        <v>1</v>
      </c>
      <c r="B8" s="10" t="n">
        <v>1</v>
      </c>
      <c r="C8" s="10" t="n">
        <v>5</v>
      </c>
      <c r="D8" s="10" t="n">
        <v>12</v>
      </c>
      <c r="E8" s="10" t="n">
        <f aca="false">$B$3+$B$4*(B8-1)</f>
        <v>100</v>
      </c>
      <c r="F8" s="19" t="n">
        <f aca="false">E8/C8</f>
        <v>20</v>
      </c>
      <c r="G8" s="10" t="n">
        <f aca="false">$B$3+$B$4*(B8-1)+$B$5*(1-1)</f>
        <v>100</v>
      </c>
      <c r="H8" s="19" t="n">
        <f aca="false">G8/C8</f>
        <v>20</v>
      </c>
    </row>
    <row r="9" customFormat="false" ht="15" hidden="false" customHeight="false" outlineLevel="0" collapsed="false">
      <c r="A9" s="10" t="n">
        <v>2</v>
      </c>
      <c r="B9" s="10" t="n">
        <v>15</v>
      </c>
      <c r="C9" s="10" t="n">
        <v>10</v>
      </c>
      <c r="D9" s="10" t="n">
        <v>24</v>
      </c>
      <c r="E9" s="10" t="n">
        <f aca="false">$B$3+$B$4*(B9-1)</f>
        <v>170</v>
      </c>
      <c r="F9" s="19" t="n">
        <f aca="false">E9/C9</f>
        <v>17</v>
      </c>
      <c r="G9" s="10" t="n">
        <f aca="false">$B$3+$B$4*(B9-1)+$B$5*(2-1)</f>
        <v>270</v>
      </c>
      <c r="H9" s="19" t="n">
        <f aca="false">G9/C9</f>
        <v>27</v>
      </c>
    </row>
    <row r="10" customFormat="false" ht="15" hidden="false" customHeight="false" outlineLevel="0" collapsed="false">
      <c r="A10" s="10" t="n">
        <v>3</v>
      </c>
      <c r="B10" s="10" t="n">
        <v>30</v>
      </c>
      <c r="C10" s="10" t="n">
        <v>18</v>
      </c>
      <c r="D10" s="10" t="n">
        <v>42</v>
      </c>
      <c r="E10" s="10" t="n">
        <f aca="false">$B$3+$B$4*(B10-1)</f>
        <v>245</v>
      </c>
      <c r="F10" s="19" t="n">
        <f aca="false">E10/C10</f>
        <v>13.6111111111111</v>
      </c>
      <c r="G10" s="10" t="n">
        <f aca="false">$B$3+$B$4*(B10-1)+$B$5*(3-1)</f>
        <v>445</v>
      </c>
      <c r="H10" s="19" t="n">
        <f aca="false">G10/C10</f>
        <v>24.7222222222222</v>
      </c>
    </row>
    <row r="11" customFormat="false" ht="15" hidden="false" customHeight="false" outlineLevel="0" collapsed="false">
      <c r="A11" s="10" t="n">
        <v>4</v>
      </c>
      <c r="B11" s="10" t="n">
        <v>45</v>
      </c>
      <c r="C11" s="10" t="n">
        <v>28</v>
      </c>
      <c r="D11" s="10" t="n">
        <v>66</v>
      </c>
      <c r="E11" s="10" t="n">
        <f aca="false">$B$3+$B$4*(B11-1)</f>
        <v>320</v>
      </c>
      <c r="F11" s="19" t="n">
        <f aca="false">E11/C11</f>
        <v>11.4285714285714</v>
      </c>
      <c r="G11" s="10" t="n">
        <f aca="false">$B$3+$B$4*(B11-1)+$B$5*(4-1)</f>
        <v>620</v>
      </c>
      <c r="H11" s="19" t="n">
        <f aca="false">G11/C11</f>
        <v>22.1428571428571</v>
      </c>
    </row>
    <row r="12" customFormat="false" ht="15" hidden="false" customHeight="false" outlineLevel="0" collapsed="false">
      <c r="A12" s="10" t="n">
        <v>5</v>
      </c>
      <c r="B12" s="10" t="n">
        <v>60</v>
      </c>
      <c r="C12" s="10" t="n">
        <v>40</v>
      </c>
      <c r="D12" s="10" t="n">
        <v>96</v>
      </c>
      <c r="E12" s="10" t="n">
        <f aca="false">$B$3+$B$4*(B12-1)</f>
        <v>395</v>
      </c>
      <c r="F12" s="19" t="n">
        <f aca="false">E12/C12</f>
        <v>9.875</v>
      </c>
      <c r="G12" s="10" t="n">
        <f aca="false">$B$3+$B$4*(B12-1)+$B$5*(5-1)</f>
        <v>795</v>
      </c>
      <c r="H12" s="19" t="n">
        <f aca="false">G12/C12</f>
        <v>19.875</v>
      </c>
    </row>
    <row r="13" customFormat="false" ht="15" hidden="false" customHeight="false" outlineLevel="0" collapsed="false">
      <c r="A13" s="10" t="n">
        <v>6</v>
      </c>
      <c r="B13" s="10" t="n">
        <v>75</v>
      </c>
      <c r="C13" s="10" t="n">
        <v>60</v>
      </c>
      <c r="D13" s="10" t="n">
        <v>144</v>
      </c>
      <c r="E13" s="10" t="n">
        <f aca="false">$B$3+$B$4*(B13-1)</f>
        <v>470</v>
      </c>
      <c r="F13" s="19" t="n">
        <f aca="false">E13/C13</f>
        <v>7.83333333333333</v>
      </c>
      <c r="G13" s="10" t="n">
        <f aca="false">$B$3+$B$4*(B13-1)+$B$5*(6-1)</f>
        <v>970</v>
      </c>
      <c r="H13" s="19" t="n">
        <f aca="false">G13/C13</f>
        <v>16.1666666666667</v>
      </c>
    </row>
    <row r="14" customFormat="false" ht="15" hidden="false" customHeight="false" outlineLevel="0" collapsed="false">
      <c r="A14" s="10" t="s">
        <v>1078</v>
      </c>
      <c r="B14" s="10" t="n">
        <v>99</v>
      </c>
      <c r="C14" s="10" t="n">
        <v>60</v>
      </c>
      <c r="D14" s="10" t="n">
        <v>144</v>
      </c>
      <c r="E14" s="10" t="n">
        <f aca="false">$B$3+$B$4*(B14-1)</f>
        <v>590</v>
      </c>
      <c r="F14" s="19" t="n">
        <f aca="false">E14/C14</f>
        <v>9.83333333333333</v>
      </c>
      <c r="G14" s="10" t="n">
        <f aca="false">$B$3+$B$4*(B14-1)+$B$5*(6-1)</f>
        <v>1090</v>
      </c>
      <c r="H14" s="19" t="n">
        <f aca="false">G14/C14</f>
        <v>18.1666666666667</v>
      </c>
    </row>
    <row r="16" customFormat="false" ht="15" hidden="false" customHeight="false" outlineLevel="0" collapsed="false">
      <c r="A16" s="14" t="s">
        <v>1079</v>
      </c>
    </row>
    <row r="17" customFormat="false" ht="15" hidden="false" customHeight="false" outlineLevel="0" collapsed="false">
      <c r="A17" s="14" t="s">
        <v>1080</v>
      </c>
    </row>
    <row r="18" customFormat="false" ht="15" hidden="false" customHeight="false" outlineLevel="0" collapsed="false">
      <c r="A18" s="14" t="s">
        <v>1081</v>
      </c>
    </row>
    <row r="20" customFormat="false" ht="15" hidden="false" customHeight="false" outlineLevel="0" collapsed="false">
      <c r="A20" s="20" t="s">
        <v>1082</v>
      </c>
    </row>
    <row r="21" customFormat="false" ht="15" hidden="false" customHeight="false" outlineLevel="0" collapsed="false">
      <c r="A21" s="0" t="s">
        <v>1083</v>
      </c>
      <c r="B21" s="21" t="n">
        <v>0.05</v>
      </c>
    </row>
    <row r="22" customFormat="false" ht="15" hidden="false" customHeight="false" outlineLevel="0" collapsed="false">
      <c r="A22" s="0" t="s">
        <v>1084</v>
      </c>
      <c r="B22" s="21" t="n">
        <v>0.01</v>
      </c>
    </row>
    <row r="23" customFormat="false" ht="15" hidden="false" customHeight="false" outlineLevel="0" collapsed="false">
      <c r="A23" s="0" t="s">
        <v>1085</v>
      </c>
      <c r="B23" s="17" t="n">
        <v>12.5</v>
      </c>
    </row>
    <row r="24" customFormat="false" ht="15" hidden="false" customHeight="false" outlineLevel="0" collapsed="false">
      <c r="A24" s="0" t="s">
        <v>1086</v>
      </c>
      <c r="B24" s="17" t="n">
        <v>6.25</v>
      </c>
    </row>
    <row r="26" customFormat="false" ht="45" hidden="false" customHeight="true" outlineLevel="0" collapsed="false">
      <c r="A26" s="18" t="s">
        <v>1</v>
      </c>
      <c r="B26" s="18" t="s">
        <v>1087</v>
      </c>
      <c r="C26" s="18" t="s">
        <v>1088</v>
      </c>
      <c r="D26" s="18" t="s">
        <v>1073</v>
      </c>
      <c r="E26" s="18" t="s">
        <v>1089</v>
      </c>
      <c r="F26" s="18" t="s">
        <v>1090</v>
      </c>
      <c r="G26" s="18" t="s">
        <v>1091</v>
      </c>
    </row>
    <row r="27" customFormat="false" ht="15" hidden="false" customHeight="false" outlineLevel="0" collapsed="false">
      <c r="A27" s="10" t="n">
        <v>1</v>
      </c>
      <c r="B27" s="22" t="n">
        <f aca="false">$B$21+$B$22*1</f>
        <v>0.06</v>
      </c>
      <c r="C27" s="10" t="n">
        <f aca="false">ROUND(G8*B27,0)</f>
        <v>6</v>
      </c>
      <c r="D27" s="10" t="n">
        <f aca="false">C8</f>
        <v>5</v>
      </c>
      <c r="E27" s="19" t="n">
        <f aca="false">C27/$B$23</f>
        <v>0.48</v>
      </c>
      <c r="F27" s="19" t="n">
        <f aca="false">D27/$B$24</f>
        <v>0.8</v>
      </c>
      <c r="G27" s="23" t="n">
        <f aca="false">E27/F27</f>
        <v>0.6</v>
      </c>
    </row>
    <row r="28" customFormat="false" ht="15" hidden="false" customHeight="false" outlineLevel="0" collapsed="false">
      <c r="A28" s="10" t="n">
        <v>2</v>
      </c>
      <c r="B28" s="22" t="n">
        <f aca="false">$B$21+$B$22*2</f>
        <v>0.07</v>
      </c>
      <c r="C28" s="10" t="n">
        <f aca="false">ROUND(G9*B28,0)</f>
        <v>19</v>
      </c>
      <c r="D28" s="10" t="n">
        <f aca="false">C9</f>
        <v>10</v>
      </c>
      <c r="E28" s="19" t="n">
        <f aca="false">C28/$B$23</f>
        <v>1.52</v>
      </c>
      <c r="F28" s="19" t="n">
        <f aca="false">D28/$B$24</f>
        <v>1.6</v>
      </c>
      <c r="G28" s="23" t="n">
        <f aca="false">E28/F28</f>
        <v>0.95</v>
      </c>
    </row>
    <row r="29" customFormat="false" ht="15" hidden="false" customHeight="false" outlineLevel="0" collapsed="false">
      <c r="A29" s="10" t="n">
        <v>3</v>
      </c>
      <c r="B29" s="22" t="n">
        <f aca="false">$B$21+$B$22*3</f>
        <v>0.08</v>
      </c>
      <c r="C29" s="10" t="n">
        <f aca="false">ROUND(G10*B29,0)</f>
        <v>36</v>
      </c>
      <c r="D29" s="10" t="n">
        <f aca="false">C10</f>
        <v>18</v>
      </c>
      <c r="E29" s="19" t="n">
        <f aca="false">C29/$B$23</f>
        <v>2.88</v>
      </c>
      <c r="F29" s="19" t="n">
        <f aca="false">D29/$B$24</f>
        <v>2.88</v>
      </c>
      <c r="G29" s="23" t="n">
        <f aca="false">E29/F29</f>
        <v>1</v>
      </c>
    </row>
    <row r="30" customFormat="false" ht="15" hidden="false" customHeight="false" outlineLevel="0" collapsed="false">
      <c r="A30" s="10" t="n">
        <v>4</v>
      </c>
      <c r="B30" s="22" t="n">
        <f aca="false">$B$21+$B$22*4</f>
        <v>0.09</v>
      </c>
      <c r="C30" s="10" t="n">
        <f aca="false">ROUND(G11*B30,0)</f>
        <v>56</v>
      </c>
      <c r="D30" s="10" t="n">
        <f aca="false">C11</f>
        <v>28</v>
      </c>
      <c r="E30" s="19" t="n">
        <f aca="false">C30/$B$23</f>
        <v>4.48</v>
      </c>
      <c r="F30" s="19" t="n">
        <f aca="false">D30/$B$24</f>
        <v>4.48</v>
      </c>
      <c r="G30" s="23" t="n">
        <f aca="false">E30/F30</f>
        <v>1</v>
      </c>
    </row>
    <row r="31" customFormat="false" ht="15" hidden="false" customHeight="false" outlineLevel="0" collapsed="false">
      <c r="A31" s="10" t="n">
        <v>5</v>
      </c>
      <c r="B31" s="22" t="n">
        <f aca="false">$B$21+$B$22*5</f>
        <v>0.1</v>
      </c>
      <c r="C31" s="10" t="n">
        <f aca="false">ROUND(G12*B31,0)</f>
        <v>80</v>
      </c>
      <c r="D31" s="10" t="n">
        <f aca="false">C12</f>
        <v>40</v>
      </c>
      <c r="E31" s="19" t="n">
        <f aca="false">C31/$B$23</f>
        <v>6.4</v>
      </c>
      <c r="F31" s="19" t="n">
        <f aca="false">D31/$B$24</f>
        <v>6.4</v>
      </c>
      <c r="G31" s="23" t="n">
        <f aca="false">E31/F31</f>
        <v>1</v>
      </c>
    </row>
    <row r="32" customFormat="false" ht="15" hidden="false" customHeight="false" outlineLevel="0" collapsed="false">
      <c r="A32" s="10" t="n">
        <v>6</v>
      </c>
      <c r="B32" s="22" t="n">
        <f aca="false">$B$21+$B$22*6</f>
        <v>0.11</v>
      </c>
      <c r="C32" s="10" t="n">
        <f aca="false">ROUND(G13*B32,0)</f>
        <v>107</v>
      </c>
      <c r="D32" s="10" t="n">
        <f aca="false">C13</f>
        <v>60</v>
      </c>
      <c r="E32" s="19" t="n">
        <f aca="false">C32/$B$23</f>
        <v>8.56</v>
      </c>
      <c r="F32" s="19" t="n">
        <f aca="false">D32/$B$24</f>
        <v>9.6</v>
      </c>
      <c r="G32" s="23" t="n">
        <f aca="false">E32/F32</f>
        <v>0.891666666666667</v>
      </c>
    </row>
    <row r="34" customFormat="false" ht="15" hidden="false" customHeight="false" outlineLevel="0" collapsed="false">
      <c r="A34" s="14" t="s">
        <v>1092</v>
      </c>
    </row>
    <row r="35" customFormat="false" ht="15" hidden="false" customHeight="false" outlineLevel="0" collapsed="false">
      <c r="A35" s="14" t="s">
        <v>1093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"/>
    <col collapsed="false" customWidth="true" hidden="false" outlineLevel="0" max="3" min="3" style="0" width="26"/>
    <col collapsed="false" customWidth="true" hidden="false" outlineLevel="0" max="4" min="4" style="0" width="30"/>
    <col collapsed="false" customWidth="true" hidden="false" outlineLevel="0" max="5" min="5" style="0" width="8"/>
  </cols>
  <sheetData>
    <row r="1" customFormat="false" ht="15" hidden="false" customHeight="false" outlineLevel="0" collapsed="false">
      <c r="A1" s="13" t="s">
        <v>0</v>
      </c>
      <c r="B1" s="13" t="s">
        <v>1</v>
      </c>
      <c r="C1" s="13" t="s">
        <v>1094</v>
      </c>
      <c r="D1" s="13" t="s">
        <v>1095</v>
      </c>
      <c r="E1" s="13" t="s">
        <v>13</v>
      </c>
      <c r="G1" s="14" t="s">
        <v>1096</v>
      </c>
    </row>
    <row r="2" customFormat="false" ht="15" hidden="false" customHeight="false" outlineLevel="0" collapsed="false">
      <c r="A2" s="10" t="s">
        <v>19</v>
      </c>
      <c r="B2" s="10" t="n">
        <v>1</v>
      </c>
      <c r="C2" s="10" t="n">
        <f aca="false">SUMIFS('All Upgrades'!$L$2:$L$541,'All Upgrades'!$A$2:$A$541,A2,'All Upgrades'!$B$2:$B$541,B2,'All Upgrades'!$O$2:$O$541,"&lt;&gt;tokens")</f>
        <v>335</v>
      </c>
      <c r="D2" s="23" t="n">
        <f aca="false">C2/INDEX(Inputs!$C$15:$C$23,MATCH("mining",Inputs!$A$15:$A$23,0))/Inputs!$B$7</f>
        <v>0.470175438596491</v>
      </c>
      <c r="E2" s="10" t="n">
        <f aca="false">SUMIFS('All Upgrades'!$N$2:$N$541,'All Upgrades'!$A$2:$A$541,A2,'All Upgrades'!$B$2:$B$541,B2)</f>
        <v>1</v>
      </c>
    </row>
    <row r="3" customFormat="false" ht="15" hidden="false" customHeight="false" outlineLevel="0" collapsed="false">
      <c r="A3" s="10" t="s">
        <v>19</v>
      </c>
      <c r="B3" s="10" t="n">
        <v>2</v>
      </c>
      <c r="C3" s="10" t="n">
        <f aca="false">SUMIFS('All Upgrades'!$L$2:$L$541,'All Upgrades'!$A$2:$A$541,A3,'All Upgrades'!$B$2:$B$541,B3,'All Upgrades'!$O$2:$O$541,"&lt;&gt;tokens")</f>
        <v>861</v>
      </c>
      <c r="D3" s="23" t="n">
        <f aca="false">C3/INDEX(Inputs!$C$15:$C$23,MATCH("mining",Inputs!$A$15:$A$23,0))/Inputs!$B$7</f>
        <v>1.20842105263158</v>
      </c>
      <c r="E3" s="10" t="n">
        <f aca="false">SUMIFS('All Upgrades'!$N$2:$N$541,'All Upgrades'!$A$2:$A$541,A3,'All Upgrades'!$B$2:$B$541,B3)</f>
        <v>1</v>
      </c>
    </row>
    <row r="4" customFormat="false" ht="15" hidden="false" customHeight="false" outlineLevel="0" collapsed="false">
      <c r="A4" s="10" t="s">
        <v>19</v>
      </c>
      <c r="B4" s="10" t="n">
        <v>3</v>
      </c>
      <c r="C4" s="10" t="n">
        <f aca="false">SUMIFS('All Upgrades'!$L$2:$L$541,'All Upgrades'!$A$2:$A$541,A4,'All Upgrades'!$B$2:$B$541,B4,'All Upgrades'!$O$2:$O$541,"&lt;&gt;tokens")</f>
        <v>1149</v>
      </c>
      <c r="D4" s="23" t="n">
        <f aca="false">C4/INDEX(Inputs!$C$15:$C$23,MATCH("mining",Inputs!$A$15:$A$23,0))/Inputs!$B$7</f>
        <v>1.61263157894737</v>
      </c>
      <c r="E4" s="10" t="n">
        <f aca="false">SUMIFS('All Upgrades'!$N$2:$N$541,'All Upgrades'!$A$2:$A$541,A4,'All Upgrades'!$B$2:$B$541,B4)</f>
        <v>2</v>
      </c>
    </row>
    <row r="5" customFormat="false" ht="15" hidden="false" customHeight="false" outlineLevel="0" collapsed="false">
      <c r="A5" s="10" t="s">
        <v>19</v>
      </c>
      <c r="B5" s="10" t="n">
        <v>4</v>
      </c>
      <c r="C5" s="10" t="n">
        <f aca="false">SUMIFS('All Upgrades'!$L$2:$L$541,'All Upgrades'!$A$2:$A$541,A5,'All Upgrades'!$B$2:$B$541,B5,'All Upgrades'!$O$2:$O$541,"&lt;&gt;tokens")</f>
        <v>1116</v>
      </c>
      <c r="D5" s="23" t="n">
        <f aca="false">C5/INDEX(Inputs!$C$15:$C$23,MATCH("mining",Inputs!$A$15:$A$23,0))/Inputs!$B$7</f>
        <v>1.56631578947368</v>
      </c>
      <c r="E5" s="10" t="n">
        <f aca="false">SUMIFS('All Upgrades'!$N$2:$N$541,'All Upgrades'!$A$2:$A$541,A5,'All Upgrades'!$B$2:$B$541,B5)</f>
        <v>2</v>
      </c>
    </row>
    <row r="6" customFormat="false" ht="15" hidden="false" customHeight="false" outlineLevel="0" collapsed="false">
      <c r="A6" s="10" t="s">
        <v>19</v>
      </c>
      <c r="B6" s="10" t="n">
        <v>5</v>
      </c>
      <c r="C6" s="10" t="n">
        <f aca="false">SUMIFS('All Upgrades'!$L$2:$L$541,'All Upgrades'!$A$2:$A$541,A6,'All Upgrades'!$B$2:$B$541,B6,'All Upgrades'!$O$2:$O$541,"&lt;&gt;tokens")</f>
        <v>1227</v>
      </c>
      <c r="D6" s="23" t="n">
        <f aca="false">C6/INDEX(Inputs!$C$15:$C$23,MATCH("mining",Inputs!$A$15:$A$23,0))/Inputs!$B$7</f>
        <v>1.72210526315789</v>
      </c>
      <c r="E6" s="10" t="n">
        <f aca="false">SUMIFS('All Upgrades'!$N$2:$N$541,'All Upgrades'!$A$2:$A$541,A6,'All Upgrades'!$B$2:$B$541,B6)</f>
        <v>2</v>
      </c>
    </row>
    <row r="7" customFormat="false" ht="15" hidden="false" customHeight="false" outlineLevel="0" collapsed="false">
      <c r="A7" s="10" t="s">
        <v>19</v>
      </c>
      <c r="B7" s="10" t="n">
        <v>6</v>
      </c>
      <c r="C7" s="10" t="n">
        <f aca="false">SUMIFS('All Upgrades'!$L$2:$L$541,'All Upgrades'!$A$2:$A$541,A7,'All Upgrades'!$B$2:$B$541,B7,'All Upgrades'!$O$2:$O$541,"&lt;&gt;tokens")</f>
        <v>1800</v>
      </c>
      <c r="D7" s="23" t="n">
        <f aca="false">C7/INDEX(Inputs!$C$15:$C$23,MATCH("mining",Inputs!$A$15:$A$23,0))/Inputs!$B$7</f>
        <v>2.52631578947368</v>
      </c>
      <c r="E7" s="10" t="n">
        <f aca="false">SUMIFS('All Upgrades'!$N$2:$N$541,'All Upgrades'!$A$2:$A$541,A7,'All Upgrades'!$B$2:$B$541,B7)</f>
        <v>2</v>
      </c>
    </row>
    <row r="8" customFormat="false" ht="15" hidden="false" customHeight="false" outlineLevel="0" collapsed="false">
      <c r="A8" s="10" t="s">
        <v>224</v>
      </c>
      <c r="B8" s="10" t="n">
        <v>1</v>
      </c>
      <c r="C8" s="10" t="n">
        <f aca="false">SUMIFS('All Upgrades'!$L$2:$L$541,'All Upgrades'!$A$2:$A$541,A8,'All Upgrades'!$B$2:$B$541,B8,'All Upgrades'!$O$2:$O$541,"&lt;&gt;tokens")</f>
        <v>427</v>
      </c>
      <c r="D8" s="23" t="n">
        <f aca="false">C8/INDEX(Inputs!$C$15:$C$23,MATCH("mining",Inputs!$A$15:$A$23,0))/Inputs!$B$7</f>
        <v>0.599298245614035</v>
      </c>
      <c r="E8" s="10" t="n">
        <f aca="false">SUMIFS('All Upgrades'!$N$2:$N$541,'All Upgrades'!$A$2:$A$541,A8,'All Upgrades'!$B$2:$B$541,B8)</f>
        <v>1</v>
      </c>
    </row>
    <row r="9" customFormat="false" ht="15" hidden="false" customHeight="false" outlineLevel="0" collapsed="false">
      <c r="A9" s="10" t="s">
        <v>224</v>
      </c>
      <c r="B9" s="10" t="n">
        <v>2</v>
      </c>
      <c r="C9" s="10" t="n">
        <f aca="false">SUMIFS('All Upgrades'!$L$2:$L$541,'All Upgrades'!$A$2:$A$541,A9,'All Upgrades'!$B$2:$B$541,B9,'All Upgrades'!$O$2:$O$541,"&lt;&gt;tokens")</f>
        <v>1097</v>
      </c>
      <c r="D9" s="23" t="n">
        <f aca="false">C9/INDEX(Inputs!$C$15:$C$23,MATCH("mining",Inputs!$A$15:$A$23,0))/Inputs!$B$7</f>
        <v>1.53964912280702</v>
      </c>
      <c r="E9" s="10" t="n">
        <f aca="false">SUMIFS('All Upgrades'!$N$2:$N$541,'All Upgrades'!$A$2:$A$541,A9,'All Upgrades'!$B$2:$B$541,B9)</f>
        <v>1</v>
      </c>
    </row>
    <row r="10" customFormat="false" ht="15" hidden="false" customHeight="false" outlineLevel="0" collapsed="false">
      <c r="A10" s="10" t="s">
        <v>224</v>
      </c>
      <c r="B10" s="10" t="n">
        <v>3</v>
      </c>
      <c r="C10" s="10" t="n">
        <f aca="false">SUMIFS('All Upgrades'!$L$2:$L$541,'All Upgrades'!$A$2:$A$541,A10,'All Upgrades'!$B$2:$B$541,B10,'All Upgrades'!$O$2:$O$541,"&lt;&gt;tokens")</f>
        <v>1465</v>
      </c>
      <c r="D10" s="23" t="n">
        <f aca="false">C10/INDEX(Inputs!$C$15:$C$23,MATCH("mining",Inputs!$A$15:$A$23,0))/Inputs!$B$7</f>
        <v>2.05614035087719</v>
      </c>
      <c r="E10" s="10" t="n">
        <f aca="false">SUMIFS('All Upgrades'!$N$2:$N$541,'All Upgrades'!$A$2:$A$541,A10,'All Upgrades'!$B$2:$B$541,B10)</f>
        <v>2</v>
      </c>
    </row>
    <row r="11" customFormat="false" ht="15" hidden="false" customHeight="false" outlineLevel="0" collapsed="false">
      <c r="A11" s="10" t="s">
        <v>224</v>
      </c>
      <c r="B11" s="10" t="n">
        <v>4</v>
      </c>
      <c r="C11" s="10" t="n">
        <f aca="false">SUMIFS('All Upgrades'!$L$2:$L$541,'All Upgrades'!$A$2:$A$541,A11,'All Upgrades'!$B$2:$B$541,B11,'All Upgrades'!$O$2:$O$541,"&lt;&gt;tokens")</f>
        <v>1423</v>
      </c>
      <c r="D11" s="23" t="n">
        <f aca="false">C11/INDEX(Inputs!$C$15:$C$23,MATCH("mining",Inputs!$A$15:$A$23,0))/Inputs!$B$7</f>
        <v>1.99719298245614</v>
      </c>
      <c r="E11" s="10" t="n">
        <f aca="false">SUMIFS('All Upgrades'!$N$2:$N$541,'All Upgrades'!$A$2:$A$541,A11,'All Upgrades'!$B$2:$B$541,B11)</f>
        <v>2</v>
      </c>
    </row>
    <row r="12" customFormat="false" ht="15" hidden="false" customHeight="false" outlineLevel="0" collapsed="false">
      <c r="A12" s="10" t="s">
        <v>224</v>
      </c>
      <c r="B12" s="10" t="n">
        <v>5</v>
      </c>
      <c r="C12" s="10" t="n">
        <f aca="false">SUMIFS('All Upgrades'!$L$2:$L$541,'All Upgrades'!$A$2:$A$541,A12,'All Upgrades'!$B$2:$B$541,B12,'All Upgrades'!$O$2:$O$541,"&lt;&gt;tokens")</f>
        <v>1565</v>
      </c>
      <c r="D12" s="23" t="n">
        <f aca="false">C12/INDEX(Inputs!$C$15:$C$23,MATCH("mining",Inputs!$A$15:$A$23,0))/Inputs!$B$7</f>
        <v>2.19649122807018</v>
      </c>
      <c r="E12" s="10" t="n">
        <f aca="false">SUMIFS('All Upgrades'!$N$2:$N$541,'All Upgrades'!$A$2:$A$541,A12,'All Upgrades'!$B$2:$B$541,B12)</f>
        <v>2</v>
      </c>
    </row>
    <row r="13" customFormat="false" ht="15" hidden="false" customHeight="false" outlineLevel="0" collapsed="false">
      <c r="A13" s="10" t="s">
        <v>224</v>
      </c>
      <c r="B13" s="10" t="n">
        <v>6</v>
      </c>
      <c r="C13" s="10" t="n">
        <f aca="false">SUMIFS('All Upgrades'!$L$2:$L$541,'All Upgrades'!$A$2:$A$541,A13,'All Upgrades'!$B$2:$B$541,B13,'All Upgrades'!$O$2:$O$541,"&lt;&gt;tokens")</f>
        <v>2295</v>
      </c>
      <c r="D13" s="23" t="n">
        <f aca="false">C13/INDEX(Inputs!$C$15:$C$23,MATCH("mining",Inputs!$A$15:$A$23,0))/Inputs!$B$7</f>
        <v>3.22105263157895</v>
      </c>
      <c r="E13" s="10" t="n">
        <f aca="false">SUMIFS('All Upgrades'!$N$2:$N$541,'All Upgrades'!$A$2:$A$541,A13,'All Upgrades'!$B$2:$B$541,B13)</f>
        <v>2</v>
      </c>
    </row>
    <row r="14" customFormat="false" ht="15" hidden="false" customHeight="false" outlineLevel="0" collapsed="false">
      <c r="A14" s="10" t="s">
        <v>336</v>
      </c>
      <c r="B14" s="10" t="n">
        <v>1</v>
      </c>
      <c r="C14" s="10" t="n">
        <f aca="false">SUMIFS('All Upgrades'!$L$2:$L$541,'All Upgrades'!$A$2:$A$541,A14,'All Upgrades'!$B$2:$B$541,B14,'All Upgrades'!$O$2:$O$541,"&lt;&gt;tokens")</f>
        <v>230</v>
      </c>
      <c r="D14" s="23" t="n">
        <f aca="false">C14*3/INDEX(Inputs!$C$15:$C$23,MATCH("parsing",Inputs!$A$15:$A$23,0))/Inputs!$B$7</f>
        <v>0.593548387096774</v>
      </c>
      <c r="E14" s="10" t="n">
        <f aca="false">SUMIFS('All Upgrades'!$N$2:$N$541,'All Upgrades'!$A$2:$A$541,A14,'All Upgrades'!$B$2:$B$541,B14)</f>
        <v>1</v>
      </c>
    </row>
    <row r="15" customFormat="false" ht="15" hidden="false" customHeight="false" outlineLevel="0" collapsed="false">
      <c r="A15" s="10" t="s">
        <v>336</v>
      </c>
      <c r="B15" s="10" t="n">
        <v>2</v>
      </c>
      <c r="C15" s="10" t="n">
        <f aca="false">SUMIFS('All Upgrades'!$L$2:$L$541,'All Upgrades'!$A$2:$A$541,A15,'All Upgrades'!$B$2:$B$541,B15,'All Upgrades'!$O$2:$O$541,"&lt;&gt;tokens")</f>
        <v>596</v>
      </c>
      <c r="D15" s="23" t="n">
        <f aca="false">C15*3/INDEX(Inputs!$C$15:$C$23,MATCH("parsing",Inputs!$A$15:$A$23,0))/Inputs!$B$7</f>
        <v>1.53806451612903</v>
      </c>
      <c r="E15" s="10" t="n">
        <f aca="false">SUMIFS('All Upgrades'!$N$2:$N$541,'All Upgrades'!$A$2:$A$541,A15,'All Upgrades'!$B$2:$B$541,B15)</f>
        <v>1</v>
      </c>
    </row>
    <row r="16" customFormat="false" ht="15" hidden="false" customHeight="false" outlineLevel="0" collapsed="false">
      <c r="A16" s="10" t="s">
        <v>336</v>
      </c>
      <c r="B16" s="10" t="n">
        <v>3</v>
      </c>
      <c r="C16" s="10" t="n">
        <f aca="false">SUMIFS('All Upgrades'!$L$2:$L$541,'All Upgrades'!$A$2:$A$541,A16,'All Upgrades'!$B$2:$B$541,B16,'All Upgrades'!$O$2:$O$541,"&lt;&gt;tokens")</f>
        <v>797</v>
      </c>
      <c r="D16" s="23" t="n">
        <f aca="false">C16*3/INDEX(Inputs!$C$15:$C$23,MATCH("parsing",Inputs!$A$15:$A$23,0))/Inputs!$B$7</f>
        <v>2.05677419354839</v>
      </c>
      <c r="E16" s="10" t="n">
        <f aca="false">SUMIFS('All Upgrades'!$N$2:$N$541,'All Upgrades'!$A$2:$A$541,A16,'All Upgrades'!$B$2:$B$541,B16)</f>
        <v>2</v>
      </c>
    </row>
    <row r="17" customFormat="false" ht="15" hidden="false" customHeight="false" outlineLevel="0" collapsed="false">
      <c r="A17" s="10" t="s">
        <v>336</v>
      </c>
      <c r="B17" s="10" t="n">
        <v>4</v>
      </c>
      <c r="C17" s="10" t="n">
        <f aca="false">SUMIFS('All Upgrades'!$L$2:$L$541,'All Upgrades'!$A$2:$A$541,A17,'All Upgrades'!$B$2:$B$541,B17,'All Upgrades'!$O$2:$O$541,"&lt;&gt;tokens")</f>
        <v>774</v>
      </c>
      <c r="D17" s="23" t="n">
        <f aca="false">C17*3/INDEX(Inputs!$C$15:$C$23,MATCH("parsing",Inputs!$A$15:$A$23,0))/Inputs!$B$7</f>
        <v>1.99741935483871</v>
      </c>
      <c r="E17" s="10" t="n">
        <f aca="false">SUMIFS('All Upgrades'!$N$2:$N$541,'All Upgrades'!$A$2:$A$541,A17,'All Upgrades'!$B$2:$B$541,B17)</f>
        <v>2</v>
      </c>
    </row>
    <row r="18" customFormat="false" ht="15" hidden="false" customHeight="false" outlineLevel="0" collapsed="false">
      <c r="A18" s="10" t="s">
        <v>336</v>
      </c>
      <c r="B18" s="10" t="n">
        <v>5</v>
      </c>
      <c r="C18" s="10" t="n">
        <f aca="false">SUMIFS('All Upgrades'!$L$2:$L$541,'All Upgrades'!$A$2:$A$541,A18,'All Upgrades'!$B$2:$B$541,B18,'All Upgrades'!$O$2:$O$541,"&lt;&gt;tokens")</f>
        <v>849</v>
      </c>
      <c r="D18" s="23" t="n">
        <f aca="false">C18*3/INDEX(Inputs!$C$15:$C$23,MATCH("parsing",Inputs!$A$15:$A$23,0))/Inputs!$B$7</f>
        <v>2.19096774193548</v>
      </c>
      <c r="E18" s="10" t="n">
        <f aca="false">SUMIFS('All Upgrades'!$N$2:$N$541,'All Upgrades'!$A$2:$A$541,A18,'All Upgrades'!$B$2:$B$541,B18)</f>
        <v>2</v>
      </c>
    </row>
    <row r="19" customFormat="false" ht="15" hidden="false" customHeight="false" outlineLevel="0" collapsed="false">
      <c r="A19" s="10" t="s">
        <v>336</v>
      </c>
      <c r="B19" s="10" t="n">
        <v>6</v>
      </c>
      <c r="C19" s="10" t="n">
        <f aca="false">SUMIFS('All Upgrades'!$L$2:$L$541,'All Upgrades'!$A$2:$A$541,A19,'All Upgrades'!$B$2:$B$541,B19,'All Upgrades'!$O$2:$O$541,"&lt;&gt;tokens")</f>
        <v>1248</v>
      </c>
      <c r="D19" s="23" t="n">
        <f aca="false">C19*3/INDEX(Inputs!$C$15:$C$23,MATCH("parsing",Inputs!$A$15:$A$23,0))/Inputs!$B$7</f>
        <v>3.22064516129032</v>
      </c>
      <c r="E19" s="10" t="n">
        <f aca="false">SUMIFS('All Upgrades'!$N$2:$N$541,'All Upgrades'!$A$2:$A$541,A19,'All Upgrades'!$B$2:$B$541,B19)</f>
        <v>2</v>
      </c>
    </row>
    <row r="20" customFormat="false" ht="15" hidden="false" customHeight="false" outlineLevel="0" collapsed="false">
      <c r="A20" s="10" t="s">
        <v>424</v>
      </c>
      <c r="B20" s="10" t="n">
        <v>1</v>
      </c>
      <c r="C20" s="10" t="n">
        <f aca="false">SUMIFS('All Upgrades'!$L$2:$L$541,'All Upgrades'!$A$2:$A$541,A20,'All Upgrades'!$B$2:$B$541,B20,'All Upgrades'!$O$2:$O$541,"&lt;&gt;tokens")</f>
        <v>281</v>
      </c>
      <c r="D20" s="23" t="n">
        <f aca="false">C20/INDEX(Inputs!$C$15:$C$23,MATCH("cracking",Inputs!$A$15:$A$23,0))/Inputs!$B$7</f>
        <v>0.599466666666667</v>
      </c>
      <c r="E20" s="10" t="n">
        <f aca="false">SUMIFS('All Upgrades'!$N$2:$N$541,'All Upgrades'!$A$2:$A$541,A20,'All Upgrades'!$B$2:$B$541,B20)</f>
        <v>1</v>
      </c>
    </row>
    <row r="21" customFormat="false" ht="15" hidden="false" customHeight="false" outlineLevel="0" collapsed="false">
      <c r="A21" s="10" t="s">
        <v>424</v>
      </c>
      <c r="B21" s="10" t="n">
        <v>2</v>
      </c>
      <c r="C21" s="10" t="n">
        <f aca="false">SUMIFS('All Upgrades'!$L$2:$L$541,'All Upgrades'!$A$2:$A$541,A21,'All Upgrades'!$B$2:$B$541,B21,'All Upgrades'!$O$2:$O$541,"&lt;&gt;tokens")</f>
        <v>723</v>
      </c>
      <c r="D21" s="23" t="n">
        <f aca="false">C21/INDEX(Inputs!$C$15:$C$23,MATCH("cracking",Inputs!$A$15:$A$23,0))/Inputs!$B$7</f>
        <v>1.5424</v>
      </c>
      <c r="E21" s="10" t="n">
        <f aca="false">SUMIFS('All Upgrades'!$N$2:$N$541,'All Upgrades'!$A$2:$A$541,A21,'All Upgrades'!$B$2:$B$541,B21)</f>
        <v>1</v>
      </c>
    </row>
    <row r="22" customFormat="false" ht="15" hidden="false" customHeight="false" outlineLevel="0" collapsed="false">
      <c r="A22" s="10" t="s">
        <v>424</v>
      </c>
      <c r="B22" s="10" t="n">
        <v>3</v>
      </c>
      <c r="C22" s="10" t="n">
        <f aca="false">SUMIFS('All Upgrades'!$L$2:$L$541,'All Upgrades'!$A$2:$A$541,A22,'All Upgrades'!$B$2:$B$541,B22,'All Upgrades'!$O$2:$O$541,"&lt;&gt;tokens")</f>
        <v>964</v>
      </c>
      <c r="D22" s="23" t="n">
        <f aca="false">C22/INDEX(Inputs!$C$15:$C$23,MATCH("cracking",Inputs!$A$15:$A$23,0))/Inputs!$B$7</f>
        <v>2.05653333333333</v>
      </c>
      <c r="E22" s="10" t="n">
        <f aca="false">SUMIFS('All Upgrades'!$N$2:$N$541,'All Upgrades'!$A$2:$A$541,A22,'All Upgrades'!$B$2:$B$541,B22)</f>
        <v>2</v>
      </c>
    </row>
    <row r="23" customFormat="false" ht="15" hidden="false" customHeight="false" outlineLevel="0" collapsed="false">
      <c r="A23" s="10" t="s">
        <v>424</v>
      </c>
      <c r="B23" s="10" t="n">
        <v>4</v>
      </c>
      <c r="C23" s="10" t="n">
        <f aca="false">SUMIFS('All Upgrades'!$L$2:$L$541,'All Upgrades'!$A$2:$A$541,A23,'All Upgrades'!$B$2:$B$541,B23,'All Upgrades'!$O$2:$O$541,"&lt;&gt;tokens")</f>
        <v>937</v>
      </c>
      <c r="D23" s="23" t="n">
        <f aca="false">C23/INDEX(Inputs!$C$15:$C$23,MATCH("cracking",Inputs!$A$15:$A$23,0))/Inputs!$B$7</f>
        <v>1.99893333333333</v>
      </c>
      <c r="E23" s="10" t="n">
        <f aca="false">SUMIFS('All Upgrades'!$N$2:$N$541,'All Upgrades'!$A$2:$A$541,A23,'All Upgrades'!$B$2:$B$541,B23)</f>
        <v>2</v>
      </c>
    </row>
    <row r="24" customFormat="false" ht="15" hidden="false" customHeight="false" outlineLevel="0" collapsed="false">
      <c r="A24" s="10" t="s">
        <v>424</v>
      </c>
      <c r="B24" s="10" t="n">
        <v>5</v>
      </c>
      <c r="C24" s="10" t="n">
        <f aca="false">SUMIFS('All Upgrades'!$L$2:$L$541,'All Upgrades'!$A$2:$A$541,A24,'All Upgrades'!$B$2:$B$541,B24,'All Upgrades'!$O$2:$O$541,"&lt;&gt;tokens")</f>
        <v>1029</v>
      </c>
      <c r="D24" s="23" t="n">
        <f aca="false">C24/INDEX(Inputs!$C$15:$C$23,MATCH("cracking",Inputs!$A$15:$A$23,0))/Inputs!$B$7</f>
        <v>2.1952</v>
      </c>
      <c r="E24" s="10" t="n">
        <f aca="false">SUMIFS('All Upgrades'!$N$2:$N$541,'All Upgrades'!$A$2:$A$541,A24,'All Upgrades'!$B$2:$B$541,B24)</f>
        <v>2</v>
      </c>
    </row>
    <row r="25" customFormat="false" ht="15" hidden="false" customHeight="false" outlineLevel="0" collapsed="false">
      <c r="A25" s="10" t="s">
        <v>424</v>
      </c>
      <c r="B25" s="10" t="n">
        <v>6</v>
      </c>
      <c r="C25" s="10" t="n">
        <f aca="false">SUMIFS('All Upgrades'!$L$2:$L$541,'All Upgrades'!$A$2:$A$541,A25,'All Upgrades'!$B$2:$B$541,B25,'All Upgrades'!$O$2:$O$541,"&lt;&gt;tokens")</f>
        <v>1510</v>
      </c>
      <c r="D25" s="23" t="n">
        <f aca="false">C25/INDEX(Inputs!$C$15:$C$23,MATCH("cracking",Inputs!$A$15:$A$23,0))/Inputs!$B$7</f>
        <v>3.22133333333333</v>
      </c>
      <c r="E25" s="10" t="n">
        <f aca="false">SUMIFS('All Upgrades'!$N$2:$N$541,'All Upgrades'!$A$2:$A$541,A25,'All Upgrades'!$B$2:$B$541,B25)</f>
        <v>2</v>
      </c>
    </row>
    <row r="26" customFormat="false" ht="15" hidden="false" customHeight="false" outlineLevel="0" collapsed="false">
      <c r="A26" s="10" t="s">
        <v>510</v>
      </c>
      <c r="B26" s="10" t="n">
        <v>1</v>
      </c>
      <c r="C26" s="10" t="n">
        <f aca="false">SUMIFS('All Upgrades'!$L$2:$L$541,'All Upgrades'!$A$2:$A$541,A26,'All Upgrades'!$B$2:$B$541,B26,'All Upgrades'!$O$2:$O$541,"&lt;&gt;tokens")</f>
        <v>159</v>
      </c>
      <c r="D26" s="23" t="n">
        <f aca="false">C26/INDEX(Inputs!$C$15:$C$23,MATCH("matching",Inputs!$A$15:$A$23,0))/Inputs!$B$7</f>
        <v>0.605714285714286</v>
      </c>
      <c r="E26" s="10" t="n">
        <f aca="false">SUMIFS('All Upgrades'!$N$2:$N$541,'All Upgrades'!$A$2:$A$541,A26,'All Upgrades'!$B$2:$B$541,B26)</f>
        <v>1</v>
      </c>
    </row>
    <row r="27" customFormat="false" ht="15" hidden="false" customHeight="false" outlineLevel="0" collapsed="false">
      <c r="A27" s="10" t="s">
        <v>510</v>
      </c>
      <c r="B27" s="10" t="n">
        <v>2</v>
      </c>
      <c r="C27" s="10" t="n">
        <f aca="false">SUMIFS('All Upgrades'!$L$2:$L$541,'All Upgrades'!$A$2:$A$541,A27,'All Upgrades'!$B$2:$B$541,B27,'All Upgrades'!$O$2:$O$541,"&lt;&gt;tokens")</f>
        <v>404</v>
      </c>
      <c r="D27" s="23" t="n">
        <f aca="false">C27/INDEX(Inputs!$C$15:$C$23,MATCH("matching",Inputs!$A$15:$A$23,0))/Inputs!$B$7</f>
        <v>1.53904761904762</v>
      </c>
      <c r="E27" s="10" t="n">
        <f aca="false">SUMIFS('All Upgrades'!$N$2:$N$541,'All Upgrades'!$A$2:$A$541,A27,'All Upgrades'!$B$2:$B$541,B27)</f>
        <v>1</v>
      </c>
    </row>
    <row r="28" customFormat="false" ht="15" hidden="false" customHeight="false" outlineLevel="0" collapsed="false">
      <c r="A28" s="10" t="s">
        <v>510</v>
      </c>
      <c r="B28" s="10" t="n">
        <v>3</v>
      </c>
      <c r="C28" s="10" t="n">
        <f aca="false">SUMIFS('All Upgrades'!$L$2:$L$541,'All Upgrades'!$A$2:$A$541,A28,'All Upgrades'!$B$2:$B$541,B28,'All Upgrades'!$O$2:$O$541,"&lt;&gt;tokens")</f>
        <v>541</v>
      </c>
      <c r="D28" s="23" t="n">
        <f aca="false">C28/INDEX(Inputs!$C$15:$C$23,MATCH("matching",Inputs!$A$15:$A$23,0))/Inputs!$B$7</f>
        <v>2.06095238095238</v>
      </c>
      <c r="E28" s="10" t="n">
        <f aca="false">SUMIFS('All Upgrades'!$N$2:$N$541,'All Upgrades'!$A$2:$A$541,A28,'All Upgrades'!$B$2:$B$541,B28)</f>
        <v>2</v>
      </c>
    </row>
    <row r="29" customFormat="false" ht="15" hidden="false" customHeight="false" outlineLevel="0" collapsed="false">
      <c r="A29" s="10" t="s">
        <v>510</v>
      </c>
      <c r="B29" s="10" t="n">
        <v>4</v>
      </c>
      <c r="C29" s="10" t="n">
        <f aca="false">SUMIFS('All Upgrades'!$L$2:$L$541,'All Upgrades'!$A$2:$A$541,A29,'All Upgrades'!$B$2:$B$541,B29,'All Upgrades'!$O$2:$O$541,"&lt;&gt;tokens")</f>
        <v>525</v>
      </c>
      <c r="D29" s="23" t="n">
        <f aca="false">C29/INDEX(Inputs!$C$15:$C$23,MATCH("matching",Inputs!$A$15:$A$23,0))/Inputs!$B$7</f>
        <v>2</v>
      </c>
      <c r="E29" s="10" t="n">
        <f aca="false">SUMIFS('All Upgrades'!$N$2:$N$541,'All Upgrades'!$A$2:$A$541,A29,'All Upgrades'!$B$2:$B$541,B29)</f>
        <v>2</v>
      </c>
    </row>
    <row r="30" customFormat="false" ht="15" hidden="false" customHeight="false" outlineLevel="0" collapsed="false">
      <c r="A30" s="10" t="s">
        <v>510</v>
      </c>
      <c r="B30" s="10" t="n">
        <v>5</v>
      </c>
      <c r="C30" s="10" t="n">
        <f aca="false">SUMIFS('All Upgrades'!$L$2:$L$541,'All Upgrades'!$A$2:$A$541,A30,'All Upgrades'!$B$2:$B$541,B30,'All Upgrades'!$O$2:$O$541,"&lt;&gt;tokens")</f>
        <v>578</v>
      </c>
      <c r="D30" s="23" t="n">
        <f aca="false">C30/INDEX(Inputs!$C$15:$C$23,MATCH("matching",Inputs!$A$15:$A$23,0))/Inputs!$B$7</f>
        <v>2.20190476190476</v>
      </c>
      <c r="E30" s="10" t="n">
        <f aca="false">SUMIFS('All Upgrades'!$N$2:$N$541,'All Upgrades'!$A$2:$A$541,A30,'All Upgrades'!$B$2:$B$541,B30)</f>
        <v>2</v>
      </c>
    </row>
    <row r="31" customFormat="false" ht="15" hidden="false" customHeight="false" outlineLevel="0" collapsed="false">
      <c r="A31" s="10" t="s">
        <v>510</v>
      </c>
      <c r="B31" s="10" t="n">
        <v>6</v>
      </c>
      <c r="C31" s="10" t="n">
        <f aca="false">SUMIFS('All Upgrades'!$L$2:$L$541,'All Upgrades'!$A$2:$A$541,A31,'All Upgrades'!$B$2:$B$541,B31,'All Upgrades'!$O$2:$O$541,"&lt;&gt;tokens")</f>
        <v>845</v>
      </c>
      <c r="D31" s="23" t="n">
        <f aca="false">C31/INDEX(Inputs!$C$15:$C$23,MATCH("matching",Inputs!$A$15:$A$23,0))/Inputs!$B$7</f>
        <v>3.21904761904762</v>
      </c>
      <c r="E31" s="10" t="n">
        <f aca="false">SUMIFS('All Upgrades'!$N$2:$N$541,'All Upgrades'!$A$2:$A$541,A31,'All Upgrades'!$B$2:$B$541,B31)</f>
        <v>2</v>
      </c>
    </row>
    <row r="32" customFormat="false" ht="15" hidden="false" customHeight="false" outlineLevel="0" collapsed="false">
      <c r="A32" s="10" t="s">
        <v>585</v>
      </c>
      <c r="B32" s="10" t="n">
        <v>1</v>
      </c>
      <c r="C32" s="10" t="n">
        <f aca="false">SUMIFS('All Upgrades'!$L$2:$L$541,'All Upgrades'!$A$2:$A$541,A32,'All Upgrades'!$B$2:$B$541,B32,'All Upgrades'!$O$2:$O$541,"&lt;&gt;tokens")</f>
        <v>247</v>
      </c>
      <c r="D32" s="23" t="n">
        <f aca="false">C32/INDEX(Inputs!$C$15:$C$23,MATCH("phishing",Inputs!$A$15:$A$23,0))/Inputs!$B$7</f>
        <v>0.598787878787879</v>
      </c>
      <c r="E32" s="10" t="n">
        <f aca="false">SUMIFS('All Upgrades'!$N$2:$N$541,'All Upgrades'!$A$2:$A$541,A32,'All Upgrades'!$B$2:$B$541,B32)</f>
        <v>1</v>
      </c>
    </row>
    <row r="33" customFormat="false" ht="15" hidden="false" customHeight="false" outlineLevel="0" collapsed="false">
      <c r="A33" s="10" t="s">
        <v>585</v>
      </c>
      <c r="B33" s="10" t="n">
        <v>2</v>
      </c>
      <c r="C33" s="10" t="n">
        <f aca="false">SUMIFS('All Upgrades'!$L$2:$L$541,'All Upgrades'!$A$2:$A$541,A33,'All Upgrades'!$B$2:$B$541,B33,'All Upgrades'!$O$2:$O$541,"&lt;&gt;tokens")</f>
        <v>635</v>
      </c>
      <c r="D33" s="23" t="n">
        <f aca="false">C33/INDEX(Inputs!$C$15:$C$23,MATCH("phishing",Inputs!$A$15:$A$23,0))/Inputs!$B$7</f>
        <v>1.53939393939394</v>
      </c>
      <c r="E33" s="10" t="n">
        <f aca="false">SUMIFS('All Upgrades'!$N$2:$N$541,'All Upgrades'!$A$2:$A$541,A33,'All Upgrades'!$B$2:$B$541,B33)</f>
        <v>1</v>
      </c>
    </row>
    <row r="34" customFormat="false" ht="15" hidden="false" customHeight="false" outlineLevel="0" collapsed="false">
      <c r="A34" s="10" t="s">
        <v>585</v>
      </c>
      <c r="B34" s="10" t="n">
        <v>3</v>
      </c>
      <c r="C34" s="10" t="n">
        <f aca="false">SUMIFS('All Upgrades'!$L$2:$L$541,'All Upgrades'!$A$2:$A$541,A34,'All Upgrades'!$B$2:$B$541,B34,'All Upgrades'!$O$2:$O$541,"&lt;&gt;tokens")</f>
        <v>849</v>
      </c>
      <c r="D34" s="23" t="n">
        <f aca="false">C34/INDEX(Inputs!$C$15:$C$23,MATCH("phishing",Inputs!$A$15:$A$23,0))/Inputs!$B$7</f>
        <v>2.05818181818182</v>
      </c>
      <c r="E34" s="10" t="n">
        <f aca="false">SUMIFS('All Upgrades'!$N$2:$N$541,'All Upgrades'!$A$2:$A$541,A34,'All Upgrades'!$B$2:$B$541,B34)</f>
        <v>2</v>
      </c>
    </row>
    <row r="35" customFormat="false" ht="15" hidden="false" customHeight="false" outlineLevel="0" collapsed="false">
      <c r="A35" s="10" t="s">
        <v>585</v>
      </c>
      <c r="B35" s="10" t="n">
        <v>4</v>
      </c>
      <c r="C35" s="10" t="n">
        <f aca="false">SUMIFS('All Upgrades'!$L$2:$L$541,'All Upgrades'!$A$2:$A$541,A35,'All Upgrades'!$B$2:$B$541,B35,'All Upgrades'!$O$2:$O$541,"&lt;&gt;tokens")</f>
        <v>826</v>
      </c>
      <c r="D35" s="23" t="n">
        <f aca="false">C35/INDEX(Inputs!$C$15:$C$23,MATCH("phishing",Inputs!$A$15:$A$23,0))/Inputs!$B$7</f>
        <v>2.00242424242424</v>
      </c>
      <c r="E35" s="10" t="n">
        <f aca="false">SUMIFS('All Upgrades'!$N$2:$N$541,'All Upgrades'!$A$2:$A$541,A35,'All Upgrades'!$B$2:$B$541,B35)</f>
        <v>2</v>
      </c>
    </row>
    <row r="36" customFormat="false" ht="15" hidden="false" customHeight="false" outlineLevel="0" collapsed="false">
      <c r="A36" s="10" t="s">
        <v>585</v>
      </c>
      <c r="B36" s="10" t="n">
        <v>5</v>
      </c>
      <c r="C36" s="10" t="n">
        <f aca="false">SUMIFS('All Upgrades'!$L$2:$L$541,'All Upgrades'!$A$2:$A$541,A36,'All Upgrades'!$B$2:$B$541,B36,'All Upgrades'!$O$2:$O$541,"&lt;&gt;tokens")</f>
        <v>906</v>
      </c>
      <c r="D36" s="23" t="n">
        <f aca="false">C36/INDEX(Inputs!$C$15:$C$23,MATCH("phishing",Inputs!$A$15:$A$23,0))/Inputs!$B$7</f>
        <v>2.19636363636364</v>
      </c>
      <c r="E36" s="10" t="n">
        <f aca="false">SUMIFS('All Upgrades'!$N$2:$N$541,'All Upgrades'!$A$2:$A$541,A36,'All Upgrades'!$B$2:$B$541,B36)</f>
        <v>2</v>
      </c>
    </row>
    <row r="37" customFormat="false" ht="15" hidden="false" customHeight="false" outlineLevel="0" collapsed="false">
      <c r="A37" s="10" t="s">
        <v>585</v>
      </c>
      <c r="B37" s="10" t="n">
        <v>6</v>
      </c>
      <c r="C37" s="10" t="n">
        <f aca="false">SUMIFS('All Upgrades'!$L$2:$L$541,'All Upgrades'!$A$2:$A$541,A37,'All Upgrades'!$B$2:$B$541,B37,'All Upgrades'!$O$2:$O$541,"&lt;&gt;tokens")</f>
        <v>1328</v>
      </c>
      <c r="D37" s="23" t="n">
        <f aca="false">C37/INDEX(Inputs!$C$15:$C$23,MATCH("phishing",Inputs!$A$15:$A$23,0))/Inputs!$B$7</f>
        <v>3.21939393939394</v>
      </c>
      <c r="E37" s="10" t="n">
        <f aca="false">SUMIFS('All Upgrades'!$N$2:$N$541,'All Upgrades'!$A$2:$A$541,A37,'All Upgrades'!$B$2:$B$541,B37)</f>
        <v>2</v>
      </c>
    </row>
    <row r="38" customFormat="false" ht="15" hidden="false" customHeight="false" outlineLevel="0" collapsed="false">
      <c r="A38" s="10" t="s">
        <v>665</v>
      </c>
      <c r="B38" s="10" t="n">
        <v>1</v>
      </c>
      <c r="C38" s="10" t="n">
        <f aca="false">SUMIFS('All Upgrades'!$L$2:$L$541,'All Upgrades'!$A$2:$A$541,A38,'All Upgrades'!$B$2:$B$541,B38,'All Upgrades'!$O$2:$O$541,"&lt;&gt;tokens")</f>
        <v>3374</v>
      </c>
      <c r="D38" s="23" t="n">
        <f aca="false">C38/INDEX(Inputs!$C$15:$C$23,MATCH("decoding",Inputs!$A$15:$A$23,0))/Inputs!$B$7</f>
        <v>0.599822222222222</v>
      </c>
      <c r="E38" s="10" t="n">
        <f aca="false">SUMIFS('All Upgrades'!$N$2:$N$541,'All Upgrades'!$A$2:$A$541,A38,'All Upgrades'!$B$2:$B$541,B38)</f>
        <v>1</v>
      </c>
    </row>
    <row r="39" customFormat="false" ht="15" hidden="false" customHeight="false" outlineLevel="0" collapsed="false">
      <c r="A39" s="10" t="s">
        <v>665</v>
      </c>
      <c r="B39" s="10" t="n">
        <v>2</v>
      </c>
      <c r="C39" s="10" t="n">
        <f aca="false">SUMIFS('All Upgrades'!$L$2:$L$541,'All Upgrades'!$A$2:$A$541,A39,'All Upgrades'!$B$2:$B$541,B39,'All Upgrades'!$O$2:$O$541,"&lt;&gt;tokens")</f>
        <v>8663</v>
      </c>
      <c r="D39" s="23" t="n">
        <f aca="false">C39/INDEX(Inputs!$C$15:$C$23,MATCH("decoding",Inputs!$A$15:$A$23,0))/Inputs!$B$7</f>
        <v>1.54008888888889</v>
      </c>
      <c r="E39" s="10" t="n">
        <f aca="false">SUMIFS('All Upgrades'!$N$2:$N$541,'All Upgrades'!$A$2:$A$541,A39,'All Upgrades'!$B$2:$B$541,B39)</f>
        <v>1</v>
      </c>
    </row>
    <row r="40" customFormat="false" ht="15" hidden="false" customHeight="false" outlineLevel="0" collapsed="false">
      <c r="A40" s="10" t="s">
        <v>665</v>
      </c>
      <c r="B40" s="10" t="n">
        <v>3</v>
      </c>
      <c r="C40" s="10" t="n">
        <f aca="false">SUMIFS('All Upgrades'!$L$2:$L$541,'All Upgrades'!$A$2:$A$541,A40,'All Upgrades'!$B$2:$B$541,B40,'All Upgrades'!$O$2:$O$541,"&lt;&gt;tokens")</f>
        <v>11571</v>
      </c>
      <c r="D40" s="23" t="n">
        <f aca="false">C40/INDEX(Inputs!$C$15:$C$23,MATCH("decoding",Inputs!$A$15:$A$23,0))/Inputs!$B$7</f>
        <v>2.05706666666667</v>
      </c>
      <c r="E40" s="10" t="n">
        <f aca="false">SUMIFS('All Upgrades'!$N$2:$N$541,'All Upgrades'!$A$2:$A$541,A40,'All Upgrades'!$B$2:$B$541,B40)</f>
        <v>2</v>
      </c>
    </row>
    <row r="41" customFormat="false" ht="15" hidden="false" customHeight="false" outlineLevel="0" collapsed="false">
      <c r="A41" s="10" t="s">
        <v>665</v>
      </c>
      <c r="B41" s="10" t="n">
        <v>4</v>
      </c>
      <c r="C41" s="10" t="n">
        <f aca="false">SUMIFS('All Upgrades'!$L$2:$L$541,'All Upgrades'!$A$2:$A$541,A41,'All Upgrades'!$B$2:$B$541,B41,'All Upgrades'!$O$2:$O$541,"&lt;&gt;tokens")</f>
        <v>11229</v>
      </c>
      <c r="D41" s="23" t="n">
        <f aca="false">C41/INDEX(Inputs!$C$15:$C$23,MATCH("decoding",Inputs!$A$15:$A$23,0))/Inputs!$B$7</f>
        <v>1.99626666666667</v>
      </c>
      <c r="E41" s="10" t="n">
        <f aca="false">SUMIFS('All Upgrades'!$N$2:$N$541,'All Upgrades'!$A$2:$A$541,A41,'All Upgrades'!$B$2:$B$541,B41)</f>
        <v>2</v>
      </c>
    </row>
    <row r="42" customFormat="false" ht="15" hidden="false" customHeight="false" outlineLevel="0" collapsed="false">
      <c r="A42" s="10" t="s">
        <v>665</v>
      </c>
      <c r="B42" s="10" t="n">
        <v>5</v>
      </c>
      <c r="C42" s="10" t="n">
        <f aca="false">SUMIFS('All Upgrades'!$L$2:$L$541,'All Upgrades'!$A$2:$A$541,A42,'All Upgrades'!$B$2:$B$541,B42,'All Upgrades'!$O$2:$O$541,"&lt;&gt;tokens")</f>
        <v>12352</v>
      </c>
      <c r="D42" s="23" t="n">
        <f aca="false">C42/INDEX(Inputs!$C$15:$C$23,MATCH("decoding",Inputs!$A$15:$A$23,0))/Inputs!$B$7</f>
        <v>2.19591111111111</v>
      </c>
      <c r="E42" s="10" t="n">
        <f aca="false">SUMIFS('All Upgrades'!$N$2:$N$541,'All Upgrades'!$A$2:$A$541,A42,'All Upgrades'!$B$2:$B$541,B42)</f>
        <v>2</v>
      </c>
    </row>
    <row r="43" customFormat="false" ht="15" hidden="false" customHeight="false" outlineLevel="0" collapsed="false">
      <c r="A43" s="10" t="s">
        <v>665</v>
      </c>
      <c r="B43" s="10" t="n">
        <v>6</v>
      </c>
      <c r="C43" s="10" t="n">
        <f aca="false">SUMIFS('All Upgrades'!$L$2:$L$541,'All Upgrades'!$A$2:$A$541,A43,'All Upgrades'!$B$2:$B$541,B43,'All Upgrades'!$O$2:$O$541,"&lt;&gt;tokens")</f>
        <v>18118</v>
      </c>
      <c r="D43" s="23" t="n">
        <f aca="false">C43/INDEX(Inputs!$C$15:$C$23,MATCH("decoding",Inputs!$A$15:$A$23,0))/Inputs!$B$7</f>
        <v>3.22097777777778</v>
      </c>
      <c r="E43" s="10" t="n">
        <f aca="false">SUMIFS('All Upgrades'!$N$2:$N$541,'All Upgrades'!$A$2:$A$541,A43,'All Upgrades'!$B$2:$B$541,B43)</f>
        <v>2</v>
      </c>
    </row>
    <row r="44" customFormat="false" ht="15" hidden="false" customHeight="false" outlineLevel="0" collapsed="false">
      <c r="A44" s="10" t="s">
        <v>728</v>
      </c>
      <c r="B44" s="10" t="n">
        <v>1</v>
      </c>
      <c r="C44" s="10" t="n">
        <f aca="false">SUMIFS('All Upgrades'!$L$2:$L$541,'All Upgrades'!$A$2:$A$541,A44,'All Upgrades'!$B$2:$B$541,B44,'All Upgrades'!$O$2:$O$541,"&lt;&gt;tokens")</f>
        <v>316</v>
      </c>
      <c r="D44" s="23" t="n">
        <f aca="false">C44/INDEX(Inputs!$C$15:$C$23,MATCH("compiling",Inputs!$A$15:$A$23,0))/Inputs!$B$7</f>
        <v>0.601904761904762</v>
      </c>
      <c r="E44" s="10" t="n">
        <f aca="false">SUMIFS('All Upgrades'!$N$2:$N$541,'All Upgrades'!$A$2:$A$541,A44,'All Upgrades'!$B$2:$B$541,B44)</f>
        <v>1</v>
      </c>
    </row>
    <row r="45" customFormat="false" ht="15" hidden="false" customHeight="false" outlineLevel="0" collapsed="false">
      <c r="A45" s="10" t="s">
        <v>728</v>
      </c>
      <c r="B45" s="10" t="n">
        <v>2</v>
      </c>
      <c r="C45" s="10" t="n">
        <f aca="false">SUMIFS('All Upgrades'!$L$2:$L$541,'All Upgrades'!$A$2:$A$541,A45,'All Upgrades'!$B$2:$B$541,B45,'All Upgrades'!$O$2:$O$541,"&lt;&gt;tokens")</f>
        <v>810</v>
      </c>
      <c r="D45" s="23" t="n">
        <f aca="false">C45/INDEX(Inputs!$C$15:$C$23,MATCH("compiling",Inputs!$A$15:$A$23,0))/Inputs!$B$7</f>
        <v>1.54285714285714</v>
      </c>
      <c r="E45" s="10" t="n">
        <f aca="false">SUMIFS('All Upgrades'!$N$2:$N$541,'All Upgrades'!$A$2:$A$541,A45,'All Upgrades'!$B$2:$B$541,B45)</f>
        <v>1</v>
      </c>
    </row>
    <row r="46" customFormat="false" ht="15" hidden="false" customHeight="false" outlineLevel="0" collapsed="false">
      <c r="A46" s="10" t="s">
        <v>728</v>
      </c>
      <c r="B46" s="10" t="n">
        <v>3</v>
      </c>
      <c r="C46" s="10" t="n">
        <f aca="false">SUMIFS('All Upgrades'!$L$2:$L$541,'All Upgrades'!$A$2:$A$541,A46,'All Upgrades'!$B$2:$B$541,B46,'All Upgrades'!$O$2:$O$541,"&lt;&gt;tokens")</f>
        <v>1079</v>
      </c>
      <c r="D46" s="23" t="n">
        <f aca="false">C46/INDEX(Inputs!$C$15:$C$23,MATCH("compiling",Inputs!$A$15:$A$23,0))/Inputs!$B$7</f>
        <v>2.0552380952381</v>
      </c>
      <c r="E46" s="10" t="n">
        <f aca="false">SUMIFS('All Upgrades'!$N$2:$N$541,'All Upgrades'!$A$2:$A$541,A46,'All Upgrades'!$B$2:$B$541,B46)</f>
        <v>2</v>
      </c>
    </row>
    <row r="47" customFormat="false" ht="15" hidden="false" customHeight="false" outlineLevel="0" collapsed="false">
      <c r="A47" s="10" t="s">
        <v>728</v>
      </c>
      <c r="B47" s="10" t="n">
        <v>4</v>
      </c>
      <c r="C47" s="10" t="n">
        <f aca="false">SUMIFS('All Upgrades'!$L$2:$L$541,'All Upgrades'!$A$2:$A$541,A47,'All Upgrades'!$B$2:$B$541,B47,'All Upgrades'!$O$2:$O$541,"&lt;&gt;tokens")</f>
        <v>1048</v>
      </c>
      <c r="D47" s="23" t="n">
        <f aca="false">C47/INDEX(Inputs!$C$15:$C$23,MATCH("compiling",Inputs!$A$15:$A$23,0))/Inputs!$B$7</f>
        <v>1.99619047619048</v>
      </c>
      <c r="E47" s="10" t="n">
        <f aca="false">SUMIFS('All Upgrades'!$N$2:$N$541,'All Upgrades'!$A$2:$A$541,A47,'All Upgrades'!$B$2:$B$541,B47)</f>
        <v>2</v>
      </c>
    </row>
    <row r="48" customFormat="false" ht="15" hidden="false" customHeight="false" outlineLevel="0" collapsed="false">
      <c r="A48" s="10" t="s">
        <v>728</v>
      </c>
      <c r="B48" s="10" t="n">
        <v>5</v>
      </c>
      <c r="C48" s="10" t="n">
        <f aca="false">SUMIFS('All Upgrades'!$L$2:$L$541,'All Upgrades'!$A$2:$A$541,A48,'All Upgrades'!$B$2:$B$541,B48,'All Upgrades'!$O$2:$O$541,"&lt;&gt;tokens")</f>
        <v>1152</v>
      </c>
      <c r="D48" s="23" t="n">
        <f aca="false">C48/INDEX(Inputs!$C$15:$C$23,MATCH("compiling",Inputs!$A$15:$A$23,0))/Inputs!$B$7</f>
        <v>2.19428571428571</v>
      </c>
      <c r="E48" s="10" t="n">
        <f aca="false">SUMIFS('All Upgrades'!$N$2:$N$541,'All Upgrades'!$A$2:$A$541,A48,'All Upgrades'!$B$2:$B$541,B48)</f>
        <v>2</v>
      </c>
    </row>
    <row r="49" customFormat="false" ht="15" hidden="false" customHeight="false" outlineLevel="0" collapsed="false">
      <c r="A49" s="10" t="s">
        <v>728</v>
      </c>
      <c r="B49" s="10" t="n">
        <v>6</v>
      </c>
      <c r="C49" s="10" t="n">
        <f aca="false">SUMIFS('All Upgrades'!$L$2:$L$541,'All Upgrades'!$A$2:$A$541,A49,'All Upgrades'!$B$2:$B$541,B49,'All Upgrades'!$O$2:$O$541,"&lt;&gt;tokens")</f>
        <v>1693</v>
      </c>
      <c r="D49" s="23" t="n">
        <f aca="false">C49/INDEX(Inputs!$C$15:$C$23,MATCH("compiling",Inputs!$A$15:$A$23,0))/Inputs!$B$7</f>
        <v>3.2247619047619</v>
      </c>
      <c r="E49" s="10" t="n">
        <f aca="false">SUMIFS('All Upgrades'!$N$2:$N$541,'All Upgrades'!$A$2:$A$541,A49,'All Upgrades'!$B$2:$B$541,B49)</f>
        <v>2</v>
      </c>
    </row>
    <row r="50" customFormat="false" ht="15" hidden="false" customHeight="false" outlineLevel="0" collapsed="false">
      <c r="A50" s="10" t="s">
        <v>781</v>
      </c>
      <c r="B50" s="10" t="n">
        <v>1</v>
      </c>
      <c r="C50" s="10" t="n">
        <f aca="false">SUMIFS('All Upgrades'!$L$2:$L$541,'All Upgrades'!$A$2:$A$541,A50,'All Upgrades'!$B$2:$B$541,B50,'All Upgrades'!$O$2:$O$541,"&lt;&gt;tokens")</f>
        <v>12</v>
      </c>
      <c r="D50" s="23" t="n">
        <f aca="false">C50/INDEX(Inputs!$C$15:$C$23,MATCH("hacking",Inputs!$A$15:$A$23,0))/Inputs!$B$7</f>
        <v>0.117073170731707</v>
      </c>
      <c r="E50" s="10" t="n">
        <f aca="false">SUMIFS('All Upgrades'!$N$2:$N$541,'All Upgrades'!$A$2:$A$541,A50,'All Upgrades'!$B$2:$B$541,B50)</f>
        <v>1</v>
      </c>
    </row>
    <row r="51" customFormat="false" ht="15" hidden="false" customHeight="false" outlineLevel="0" collapsed="false">
      <c r="A51" s="10" t="s">
        <v>781</v>
      </c>
      <c r="B51" s="10" t="n">
        <v>2</v>
      </c>
      <c r="C51" s="10" t="n">
        <f aca="false">SUMIFS('All Upgrades'!$L$2:$L$541,'All Upgrades'!$A$2:$A$541,A51,'All Upgrades'!$B$2:$B$541,B51,'All Upgrades'!$O$2:$O$541,"&lt;&gt;tokens")</f>
        <v>15</v>
      </c>
      <c r="D51" s="23" t="n">
        <f aca="false">C51/INDEX(Inputs!$C$15:$C$23,MATCH("hacking",Inputs!$A$15:$A$23,0))/Inputs!$B$7</f>
        <v>0.146341463414634</v>
      </c>
      <c r="E51" s="10" t="n">
        <f aca="false">SUMIFS('All Upgrades'!$N$2:$N$541,'All Upgrades'!$A$2:$A$541,A51,'All Upgrades'!$B$2:$B$541,B51)</f>
        <v>1</v>
      </c>
    </row>
    <row r="52" customFormat="false" ht="15" hidden="false" customHeight="false" outlineLevel="0" collapsed="false">
      <c r="A52" s="10" t="s">
        <v>781</v>
      </c>
      <c r="B52" s="10" t="n">
        <v>3</v>
      </c>
      <c r="C52" s="10" t="n">
        <f aca="false">SUMIFS('All Upgrades'!$L$2:$L$541,'All Upgrades'!$A$2:$A$541,A52,'All Upgrades'!$B$2:$B$541,B52,'All Upgrades'!$O$2:$O$541,"&lt;&gt;tokens")</f>
        <v>22</v>
      </c>
      <c r="D52" s="23" t="n">
        <f aca="false">C52/INDEX(Inputs!$C$15:$C$23,MATCH("hacking",Inputs!$A$15:$A$23,0))/Inputs!$B$7</f>
        <v>0.214634146341463</v>
      </c>
      <c r="E52" s="10" t="n">
        <f aca="false">SUMIFS('All Upgrades'!$N$2:$N$541,'All Upgrades'!$A$2:$A$541,A52,'All Upgrades'!$B$2:$B$541,B52)</f>
        <v>2</v>
      </c>
    </row>
    <row r="53" customFormat="false" ht="15" hidden="false" customHeight="false" outlineLevel="0" collapsed="false">
      <c r="A53" s="10" t="s">
        <v>781</v>
      </c>
      <c r="B53" s="10" t="n">
        <v>4</v>
      </c>
      <c r="C53" s="10" t="n">
        <f aca="false">SUMIFS('All Upgrades'!$L$2:$L$541,'All Upgrades'!$A$2:$A$541,A53,'All Upgrades'!$B$2:$B$541,B53,'All Upgrades'!$O$2:$O$541,"&lt;&gt;tokens")</f>
        <v>28</v>
      </c>
      <c r="D53" s="23" t="n">
        <f aca="false">C53/INDEX(Inputs!$C$15:$C$23,MATCH("hacking",Inputs!$A$15:$A$23,0))/Inputs!$B$7</f>
        <v>0.273170731707317</v>
      </c>
      <c r="E53" s="10" t="n">
        <f aca="false">SUMIFS('All Upgrades'!$N$2:$N$541,'All Upgrades'!$A$2:$A$541,A53,'All Upgrades'!$B$2:$B$541,B53)</f>
        <v>2</v>
      </c>
    </row>
    <row r="54" customFormat="false" ht="15" hidden="false" customHeight="false" outlineLevel="0" collapsed="false">
      <c r="A54" s="10" t="s">
        <v>781</v>
      </c>
      <c r="B54" s="10" t="n">
        <v>5</v>
      </c>
      <c r="C54" s="10" t="n">
        <f aca="false">SUMIFS('All Upgrades'!$L$2:$L$541,'All Upgrades'!$A$2:$A$541,A54,'All Upgrades'!$B$2:$B$541,B54,'All Upgrades'!$O$2:$O$541,"&lt;&gt;tokens")</f>
        <v>34</v>
      </c>
      <c r="D54" s="23" t="n">
        <f aca="false">C54/INDEX(Inputs!$C$15:$C$23,MATCH("hacking",Inputs!$A$15:$A$23,0))/Inputs!$B$7</f>
        <v>0.331707317073171</v>
      </c>
      <c r="E54" s="10" t="n">
        <f aca="false">SUMIFS('All Upgrades'!$N$2:$N$541,'All Upgrades'!$A$2:$A$541,A54,'All Upgrades'!$B$2:$B$541,B54)</f>
        <v>2</v>
      </c>
    </row>
    <row r="55" customFormat="false" ht="15" hidden="false" customHeight="false" outlineLevel="0" collapsed="false">
      <c r="A55" s="10" t="s">
        <v>781</v>
      </c>
      <c r="B55" s="10" t="n">
        <v>6</v>
      </c>
      <c r="C55" s="10" t="n">
        <f aca="false">SUMIFS('All Upgrades'!$L$2:$L$541,'All Upgrades'!$A$2:$A$541,A55,'All Upgrades'!$B$2:$B$541,B55,'All Upgrades'!$O$2:$O$541,"&lt;&gt;tokens")</f>
        <v>40</v>
      </c>
      <c r="D55" s="23" t="n">
        <f aca="false">C55/INDEX(Inputs!$C$15:$C$23,MATCH("hacking",Inputs!$A$15:$A$23,0))/Inputs!$B$7</f>
        <v>0.390243902439024</v>
      </c>
      <c r="E55" s="10" t="n">
        <f aca="false">SUMIFS('All Upgrades'!$N$2:$N$541,'All Upgrades'!$A$2:$A$541,A55,'All Upgrades'!$B$2:$B$541,B55)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9" min="9" style="0" width="13"/>
  </cols>
  <sheetData>
    <row r="1" customFormat="false" ht="15" hidden="false" customHeight="false" outlineLevel="0" collapsed="false">
      <c r="A1" s="13" t="s">
        <v>1</v>
      </c>
      <c r="B1" s="13" t="s">
        <v>1097</v>
      </c>
      <c r="C1" s="13" t="s">
        <v>1098</v>
      </c>
      <c r="D1" s="13" t="s">
        <v>1099</v>
      </c>
      <c r="E1" s="13" t="s">
        <v>1100</v>
      </c>
      <c r="F1" s="13" t="s">
        <v>1101</v>
      </c>
      <c r="G1" s="13" t="s">
        <v>1102</v>
      </c>
      <c r="H1" s="13" t="s">
        <v>1103</v>
      </c>
      <c r="I1" s="13" t="s">
        <v>1104</v>
      </c>
      <c r="K1" s="14" t="s">
        <v>1105</v>
      </c>
    </row>
    <row r="2" customFormat="false" ht="15" hidden="false" customHeight="false" outlineLevel="0" collapsed="false">
      <c r="A2" s="10" t="n">
        <v>1</v>
      </c>
      <c r="B2" s="10" t="s">
        <v>91</v>
      </c>
      <c r="C2" s="10" t="s">
        <v>1106</v>
      </c>
      <c r="D2" s="10" t="n">
        <f aca="false">2*Inputs!$B$8</f>
        <v>4</v>
      </c>
      <c r="E2" s="10" t="n">
        <v>10</v>
      </c>
      <c r="F2" s="10" t="n">
        <f aca="false">D2+E2</f>
        <v>14</v>
      </c>
      <c r="G2" s="24" t="n">
        <f aca="false">F2/0.04</f>
        <v>350</v>
      </c>
      <c r="H2" s="24" t="n">
        <f aca="false">F2/0.08</f>
        <v>175</v>
      </c>
      <c r="I2" s="24" t="n">
        <f aca="false">F2/0.12</f>
        <v>116.666666666667</v>
      </c>
    </row>
    <row r="3" customFormat="false" ht="15" hidden="false" customHeight="false" outlineLevel="0" collapsed="false">
      <c r="A3" s="10" t="n">
        <v>1</v>
      </c>
      <c r="B3" s="10" t="s">
        <v>264</v>
      </c>
      <c r="C3" s="10" t="s">
        <v>1107</v>
      </c>
      <c r="D3" s="10" t="n">
        <f aca="false">2*Inputs!$B$8</f>
        <v>4</v>
      </c>
      <c r="E3" s="10" t="n">
        <v>10</v>
      </c>
      <c r="F3" s="10" t="n">
        <f aca="false">D3+E3</f>
        <v>14</v>
      </c>
      <c r="G3" s="24" t="n">
        <f aca="false">F3/0.04</f>
        <v>350</v>
      </c>
      <c r="H3" s="24" t="n">
        <f aca="false">F3/0.08</f>
        <v>175</v>
      </c>
      <c r="I3" s="24" t="n">
        <f aca="false">F3/0.12</f>
        <v>116.666666666667</v>
      </c>
    </row>
    <row r="4" customFormat="false" ht="15" hidden="false" customHeight="false" outlineLevel="0" collapsed="false">
      <c r="A4" s="10" t="n">
        <v>1</v>
      </c>
      <c r="B4" s="10" t="s">
        <v>368</v>
      </c>
      <c r="C4" s="10" t="s">
        <v>1108</v>
      </c>
      <c r="D4" s="10" t="n">
        <f aca="false">2*Inputs!$B$8</f>
        <v>4</v>
      </c>
      <c r="E4" s="10" t="n">
        <v>10</v>
      </c>
      <c r="F4" s="10" t="n">
        <f aca="false">D4+E4</f>
        <v>14</v>
      </c>
      <c r="G4" s="24" t="n">
        <f aca="false">F4/0.04</f>
        <v>350</v>
      </c>
      <c r="H4" s="24" t="n">
        <f aca="false">F4/0.08</f>
        <v>175</v>
      </c>
      <c r="I4" s="24" t="n">
        <f aca="false">F4/0.12</f>
        <v>116.666666666667</v>
      </c>
    </row>
    <row r="5" customFormat="false" ht="15" hidden="false" customHeight="false" outlineLevel="0" collapsed="false">
      <c r="A5" s="10" t="n">
        <v>1</v>
      </c>
      <c r="B5" s="10" t="s">
        <v>454</v>
      </c>
      <c r="C5" s="10" t="s">
        <v>1109</v>
      </c>
      <c r="D5" s="10" t="n">
        <f aca="false">2*Inputs!$B$8</f>
        <v>4</v>
      </c>
      <c r="E5" s="10" t="n">
        <v>10</v>
      </c>
      <c r="F5" s="10" t="n">
        <f aca="false">D5+E5</f>
        <v>14</v>
      </c>
      <c r="G5" s="24" t="n">
        <f aca="false">F5/0.04</f>
        <v>350</v>
      </c>
      <c r="H5" s="24" t="n">
        <f aca="false">F5/0.08</f>
        <v>175</v>
      </c>
      <c r="I5" s="24" t="n">
        <f aca="false">F5/0.12</f>
        <v>116.666666666667</v>
      </c>
    </row>
    <row r="6" customFormat="false" ht="15" hidden="false" customHeight="false" outlineLevel="0" collapsed="false">
      <c r="A6" s="10" t="n">
        <v>1</v>
      </c>
      <c r="B6" s="10" t="s">
        <v>536</v>
      </c>
      <c r="C6" s="10" t="s">
        <v>510</v>
      </c>
      <c r="D6" s="10" t="n">
        <f aca="false">1*Inputs!$B$8</f>
        <v>2</v>
      </c>
      <c r="E6" s="10" t="n">
        <v>10</v>
      </c>
      <c r="F6" s="10" t="n">
        <f aca="false">D6+E6</f>
        <v>12</v>
      </c>
      <c r="G6" s="24" t="n">
        <f aca="false">F6/0.04</f>
        <v>300</v>
      </c>
      <c r="H6" s="24" t="n">
        <f aca="false">F6/0.08</f>
        <v>150</v>
      </c>
      <c r="I6" s="24" t="n">
        <f aca="false">F6/0.12</f>
        <v>100</v>
      </c>
    </row>
    <row r="7" customFormat="false" ht="15" hidden="false" customHeight="false" outlineLevel="0" collapsed="false">
      <c r="A7" s="10" t="n">
        <v>2</v>
      </c>
      <c r="B7" s="10" t="s">
        <v>118</v>
      </c>
      <c r="C7" s="10" t="s">
        <v>1106</v>
      </c>
      <c r="D7" s="10" t="n">
        <f aca="false">2*Inputs!$B$8</f>
        <v>4</v>
      </c>
      <c r="E7" s="10" t="n">
        <v>10</v>
      </c>
      <c r="F7" s="10" t="n">
        <f aca="false">D7+E7</f>
        <v>14</v>
      </c>
      <c r="G7" s="24" t="n">
        <f aca="false">F7/0.04</f>
        <v>350</v>
      </c>
      <c r="H7" s="24" t="n">
        <f aca="false">F7/0.08</f>
        <v>175</v>
      </c>
      <c r="I7" s="24" t="n">
        <f aca="false">F7/0.12</f>
        <v>116.666666666667</v>
      </c>
    </row>
    <row r="8" customFormat="false" ht="15" hidden="false" customHeight="false" outlineLevel="0" collapsed="false">
      <c r="A8" s="10" t="n">
        <v>2</v>
      </c>
      <c r="B8" s="10" t="s">
        <v>278</v>
      </c>
      <c r="C8" s="10" t="s">
        <v>1107</v>
      </c>
      <c r="D8" s="10" t="n">
        <f aca="false">2*Inputs!$B$8</f>
        <v>4</v>
      </c>
      <c r="E8" s="10" t="n">
        <v>10</v>
      </c>
      <c r="F8" s="10" t="n">
        <f aca="false">D8+E8</f>
        <v>14</v>
      </c>
      <c r="G8" s="24" t="n">
        <f aca="false">F8/0.04</f>
        <v>350</v>
      </c>
      <c r="H8" s="24" t="n">
        <f aca="false">F8/0.08</f>
        <v>175</v>
      </c>
      <c r="I8" s="24" t="n">
        <f aca="false">F8/0.12</f>
        <v>116.666666666667</v>
      </c>
    </row>
    <row r="9" customFormat="false" ht="15" hidden="false" customHeight="false" outlineLevel="0" collapsed="false">
      <c r="A9" s="10" t="n">
        <v>2</v>
      </c>
      <c r="B9" s="10" t="s">
        <v>379</v>
      </c>
      <c r="C9" s="10" t="s">
        <v>1108</v>
      </c>
      <c r="D9" s="10" t="n">
        <f aca="false">2*Inputs!$B$8</f>
        <v>4</v>
      </c>
      <c r="E9" s="10" t="n">
        <v>10</v>
      </c>
      <c r="F9" s="10" t="n">
        <f aca="false">D9+E9</f>
        <v>14</v>
      </c>
      <c r="G9" s="24" t="n">
        <f aca="false">F9/0.04</f>
        <v>350</v>
      </c>
      <c r="H9" s="24" t="n">
        <f aca="false">F9/0.08</f>
        <v>175</v>
      </c>
      <c r="I9" s="24" t="n">
        <f aca="false">F9/0.12</f>
        <v>116.666666666667</v>
      </c>
    </row>
    <row r="10" customFormat="false" ht="15" hidden="false" customHeight="false" outlineLevel="0" collapsed="false">
      <c r="A10" s="10" t="n">
        <v>2</v>
      </c>
      <c r="B10" s="10" t="s">
        <v>465</v>
      </c>
      <c r="C10" s="10" t="s">
        <v>1109</v>
      </c>
      <c r="D10" s="10" t="n">
        <f aca="false">2*Inputs!$B$8</f>
        <v>4</v>
      </c>
      <c r="E10" s="10" t="n">
        <v>10</v>
      </c>
      <c r="F10" s="10" t="n">
        <f aca="false">D10+E10</f>
        <v>14</v>
      </c>
      <c r="G10" s="24" t="n">
        <f aca="false">F10/0.04</f>
        <v>350</v>
      </c>
      <c r="H10" s="24" t="n">
        <f aca="false">F10/0.08</f>
        <v>175</v>
      </c>
      <c r="I10" s="24" t="n">
        <f aca="false">F10/0.12</f>
        <v>116.666666666667</v>
      </c>
    </row>
    <row r="11" customFormat="false" ht="15" hidden="false" customHeight="false" outlineLevel="0" collapsed="false">
      <c r="A11" s="10" t="n">
        <v>2</v>
      </c>
      <c r="B11" s="10" t="s">
        <v>546</v>
      </c>
      <c r="C11" s="10" t="s">
        <v>510</v>
      </c>
      <c r="D11" s="10" t="n">
        <f aca="false">1*Inputs!$B$8</f>
        <v>2</v>
      </c>
      <c r="E11" s="10" t="n">
        <v>10</v>
      </c>
      <c r="F11" s="10" t="n">
        <f aca="false">D11+E11</f>
        <v>12</v>
      </c>
      <c r="G11" s="24" t="n">
        <f aca="false">F11/0.04</f>
        <v>300</v>
      </c>
      <c r="H11" s="24" t="n">
        <f aca="false">F11/0.08</f>
        <v>150</v>
      </c>
      <c r="I11" s="24" t="n">
        <f aca="false">F11/0.12</f>
        <v>100</v>
      </c>
    </row>
    <row r="12" customFormat="false" ht="15" hidden="false" customHeight="false" outlineLevel="0" collapsed="false">
      <c r="A12" s="10" t="n">
        <v>3</v>
      </c>
      <c r="B12" s="10" t="s">
        <v>144</v>
      </c>
      <c r="C12" s="10" t="s">
        <v>1106</v>
      </c>
      <c r="D12" s="10" t="n">
        <f aca="false">2*Inputs!$B$8</f>
        <v>4</v>
      </c>
      <c r="E12" s="10" t="n">
        <v>10</v>
      </c>
      <c r="F12" s="10" t="n">
        <f aca="false">D12+E12</f>
        <v>14</v>
      </c>
      <c r="G12" s="24" t="n">
        <f aca="false">F12/0.04</f>
        <v>350</v>
      </c>
      <c r="H12" s="24" t="n">
        <f aca="false">F12/0.08</f>
        <v>175</v>
      </c>
      <c r="I12" s="24" t="n">
        <f aca="false">F12/0.12</f>
        <v>116.666666666667</v>
      </c>
    </row>
    <row r="13" customFormat="false" ht="15" hidden="false" customHeight="false" outlineLevel="0" collapsed="false">
      <c r="A13" s="10" t="n">
        <v>3</v>
      </c>
      <c r="B13" s="10" t="s">
        <v>292</v>
      </c>
      <c r="C13" s="10" t="s">
        <v>1107</v>
      </c>
      <c r="D13" s="10" t="n">
        <f aca="false">2*Inputs!$B$8</f>
        <v>4</v>
      </c>
      <c r="E13" s="10" t="n">
        <v>10</v>
      </c>
      <c r="F13" s="10" t="n">
        <f aca="false">D13+E13</f>
        <v>14</v>
      </c>
      <c r="G13" s="24" t="n">
        <f aca="false">F13/0.04</f>
        <v>350</v>
      </c>
      <c r="H13" s="24" t="n">
        <f aca="false">F13/0.08</f>
        <v>175</v>
      </c>
      <c r="I13" s="24" t="n">
        <f aca="false">F13/0.12</f>
        <v>116.666666666667</v>
      </c>
    </row>
    <row r="14" customFormat="false" ht="15" hidden="false" customHeight="false" outlineLevel="0" collapsed="false">
      <c r="A14" s="10" t="n">
        <v>3</v>
      </c>
      <c r="B14" s="10" t="s">
        <v>390</v>
      </c>
      <c r="C14" s="10" t="s">
        <v>1108</v>
      </c>
      <c r="D14" s="10" t="n">
        <f aca="false">2*Inputs!$B$8</f>
        <v>4</v>
      </c>
      <c r="E14" s="10" t="n">
        <v>10</v>
      </c>
      <c r="F14" s="10" t="n">
        <f aca="false">D14+E14</f>
        <v>14</v>
      </c>
      <c r="G14" s="24" t="n">
        <f aca="false">F14/0.04</f>
        <v>350</v>
      </c>
      <c r="H14" s="24" t="n">
        <f aca="false">F14/0.08</f>
        <v>175</v>
      </c>
      <c r="I14" s="24" t="n">
        <f aca="false">F14/0.12</f>
        <v>116.666666666667</v>
      </c>
    </row>
    <row r="15" customFormat="false" ht="15" hidden="false" customHeight="false" outlineLevel="0" collapsed="false">
      <c r="A15" s="10" t="n">
        <v>3</v>
      </c>
      <c r="B15" s="10" t="s">
        <v>476</v>
      </c>
      <c r="C15" s="10" t="s">
        <v>1109</v>
      </c>
      <c r="D15" s="10" t="n">
        <f aca="false">2*Inputs!$B$8</f>
        <v>4</v>
      </c>
      <c r="E15" s="10" t="n">
        <v>10</v>
      </c>
      <c r="F15" s="10" t="n">
        <f aca="false">D15+E15</f>
        <v>14</v>
      </c>
      <c r="G15" s="24" t="n">
        <f aca="false">F15/0.04</f>
        <v>350</v>
      </c>
      <c r="H15" s="24" t="n">
        <f aca="false">F15/0.08</f>
        <v>175</v>
      </c>
      <c r="I15" s="24" t="n">
        <f aca="false">F15/0.12</f>
        <v>116.666666666667</v>
      </c>
    </row>
    <row r="16" customFormat="false" ht="15" hidden="false" customHeight="false" outlineLevel="0" collapsed="false">
      <c r="A16" s="10" t="n">
        <v>3</v>
      </c>
      <c r="B16" s="10" t="s">
        <v>555</v>
      </c>
      <c r="C16" s="10" t="s">
        <v>510</v>
      </c>
      <c r="D16" s="10" t="n">
        <f aca="false">1*Inputs!$B$8</f>
        <v>2</v>
      </c>
      <c r="E16" s="10" t="n">
        <v>10</v>
      </c>
      <c r="F16" s="10" t="n">
        <f aca="false">D16+E16</f>
        <v>12</v>
      </c>
      <c r="G16" s="24" t="n">
        <f aca="false">F16/0.04</f>
        <v>300</v>
      </c>
      <c r="H16" s="24" t="n">
        <f aca="false">F16/0.08</f>
        <v>150</v>
      </c>
      <c r="I16" s="24" t="n">
        <f aca="false">F16/0.12</f>
        <v>100</v>
      </c>
    </row>
    <row r="17" customFormat="false" ht="15" hidden="false" customHeight="false" outlineLevel="0" collapsed="false">
      <c r="A17" s="10" t="n">
        <v>4</v>
      </c>
      <c r="B17" s="10" t="s">
        <v>170</v>
      </c>
      <c r="C17" s="10" t="s">
        <v>1106</v>
      </c>
      <c r="D17" s="10" t="n">
        <f aca="false">2*Inputs!$B$8</f>
        <v>4</v>
      </c>
      <c r="E17" s="10" t="n">
        <v>10</v>
      </c>
      <c r="F17" s="10" t="n">
        <f aca="false">D17+E17</f>
        <v>14</v>
      </c>
      <c r="G17" s="24" t="n">
        <f aca="false">F17/0.04</f>
        <v>350</v>
      </c>
      <c r="H17" s="24" t="n">
        <f aca="false">F17/0.08</f>
        <v>175</v>
      </c>
      <c r="I17" s="24" t="n">
        <f aca="false">F17/0.12</f>
        <v>116.666666666667</v>
      </c>
    </row>
    <row r="18" customFormat="false" ht="15" hidden="false" customHeight="false" outlineLevel="0" collapsed="false">
      <c r="A18" s="10" t="n">
        <v>4</v>
      </c>
      <c r="B18" s="10" t="s">
        <v>306</v>
      </c>
      <c r="C18" s="10" t="s">
        <v>1107</v>
      </c>
      <c r="D18" s="10" t="n">
        <f aca="false">2*Inputs!$B$8</f>
        <v>4</v>
      </c>
      <c r="E18" s="10" t="n">
        <v>10</v>
      </c>
      <c r="F18" s="10" t="n">
        <f aca="false">D18+E18</f>
        <v>14</v>
      </c>
      <c r="G18" s="24" t="n">
        <f aca="false">F18/0.04</f>
        <v>350</v>
      </c>
      <c r="H18" s="24" t="n">
        <f aca="false">F18/0.08</f>
        <v>175</v>
      </c>
      <c r="I18" s="24" t="n">
        <f aca="false">F18/0.12</f>
        <v>116.666666666667</v>
      </c>
    </row>
    <row r="19" customFormat="false" ht="15" hidden="false" customHeight="false" outlineLevel="0" collapsed="false">
      <c r="A19" s="10" t="n">
        <v>4</v>
      </c>
      <c r="B19" s="10" t="s">
        <v>401</v>
      </c>
      <c r="C19" s="10" t="s">
        <v>1108</v>
      </c>
      <c r="D19" s="10" t="n">
        <f aca="false">2*Inputs!$B$8</f>
        <v>4</v>
      </c>
      <c r="E19" s="10" t="n">
        <v>10</v>
      </c>
      <c r="F19" s="10" t="n">
        <f aca="false">D19+E19</f>
        <v>14</v>
      </c>
      <c r="G19" s="24" t="n">
        <f aca="false">F19/0.04</f>
        <v>350</v>
      </c>
      <c r="H19" s="24" t="n">
        <f aca="false">F19/0.08</f>
        <v>175</v>
      </c>
      <c r="I19" s="24" t="n">
        <f aca="false">F19/0.12</f>
        <v>116.666666666667</v>
      </c>
    </row>
    <row r="20" customFormat="false" ht="15" hidden="false" customHeight="false" outlineLevel="0" collapsed="false">
      <c r="A20" s="10" t="n">
        <v>4</v>
      </c>
      <c r="B20" s="10" t="s">
        <v>487</v>
      </c>
      <c r="C20" s="10" t="s">
        <v>1109</v>
      </c>
      <c r="D20" s="10" t="n">
        <f aca="false">2*Inputs!$B$8</f>
        <v>4</v>
      </c>
      <c r="E20" s="10" t="n">
        <v>10</v>
      </c>
      <c r="F20" s="10" t="n">
        <f aca="false">D20+E20</f>
        <v>14</v>
      </c>
      <c r="G20" s="24" t="n">
        <f aca="false">F20/0.04</f>
        <v>350</v>
      </c>
      <c r="H20" s="24" t="n">
        <f aca="false">F20/0.08</f>
        <v>175</v>
      </c>
      <c r="I20" s="24" t="n">
        <f aca="false">F20/0.12</f>
        <v>116.666666666667</v>
      </c>
    </row>
    <row r="21" customFormat="false" ht="15" hidden="false" customHeight="false" outlineLevel="0" collapsed="false">
      <c r="A21" s="10" t="n">
        <v>4</v>
      </c>
      <c r="B21" s="10" t="s">
        <v>565</v>
      </c>
      <c r="C21" s="10" t="s">
        <v>510</v>
      </c>
      <c r="D21" s="10" t="n">
        <f aca="false">1*Inputs!$B$8</f>
        <v>2</v>
      </c>
      <c r="E21" s="10" t="n">
        <v>10</v>
      </c>
      <c r="F21" s="10" t="n">
        <f aca="false">D21+E21</f>
        <v>12</v>
      </c>
      <c r="G21" s="24" t="n">
        <f aca="false">F21/0.04</f>
        <v>300</v>
      </c>
      <c r="H21" s="24" t="n">
        <f aca="false">F21/0.08</f>
        <v>150</v>
      </c>
      <c r="I21" s="24" t="n">
        <f aca="false">F21/0.12</f>
        <v>100</v>
      </c>
    </row>
    <row r="22" customFormat="false" ht="15" hidden="false" customHeight="false" outlineLevel="0" collapsed="false">
      <c r="A22" s="10" t="n">
        <v>5</v>
      </c>
      <c r="B22" s="10" t="s">
        <v>196</v>
      </c>
      <c r="C22" s="10" t="s">
        <v>1106</v>
      </c>
      <c r="D22" s="10" t="n">
        <f aca="false">2*Inputs!$B$8</f>
        <v>4</v>
      </c>
      <c r="E22" s="10" t="n">
        <v>10</v>
      </c>
      <c r="F22" s="10" t="n">
        <f aca="false">D22+E22</f>
        <v>14</v>
      </c>
      <c r="G22" s="24" t="n">
        <f aca="false">F22/0.04</f>
        <v>350</v>
      </c>
      <c r="H22" s="24" t="n">
        <f aca="false">F22/0.08</f>
        <v>175</v>
      </c>
      <c r="I22" s="24" t="n">
        <f aca="false">F22/0.12</f>
        <v>116.666666666667</v>
      </c>
    </row>
    <row r="23" customFormat="false" ht="15" hidden="false" customHeight="false" outlineLevel="0" collapsed="false">
      <c r="A23" s="10" t="n">
        <v>5</v>
      </c>
      <c r="B23" s="10" t="s">
        <v>320</v>
      </c>
      <c r="C23" s="10" t="s">
        <v>1107</v>
      </c>
      <c r="D23" s="10" t="n">
        <f aca="false">2*Inputs!$B$8</f>
        <v>4</v>
      </c>
      <c r="E23" s="10" t="n">
        <v>10</v>
      </c>
      <c r="F23" s="10" t="n">
        <f aca="false">D23+E23</f>
        <v>14</v>
      </c>
      <c r="G23" s="24" t="n">
        <f aca="false">F23/0.04</f>
        <v>350</v>
      </c>
      <c r="H23" s="24" t="n">
        <f aca="false">F23/0.08</f>
        <v>175</v>
      </c>
      <c r="I23" s="24" t="n">
        <f aca="false">F23/0.12</f>
        <v>116.666666666667</v>
      </c>
    </row>
    <row r="24" customFormat="false" ht="15" hidden="false" customHeight="false" outlineLevel="0" collapsed="false">
      <c r="A24" s="10" t="n">
        <v>5</v>
      </c>
      <c r="B24" s="10" t="s">
        <v>411</v>
      </c>
      <c r="C24" s="10" t="s">
        <v>1108</v>
      </c>
      <c r="D24" s="10" t="n">
        <f aca="false">2*Inputs!$B$8</f>
        <v>4</v>
      </c>
      <c r="E24" s="10" t="n">
        <v>10</v>
      </c>
      <c r="F24" s="10" t="n">
        <f aca="false">D24+E24</f>
        <v>14</v>
      </c>
      <c r="G24" s="24" t="n">
        <f aca="false">F24/0.04</f>
        <v>350</v>
      </c>
      <c r="H24" s="24" t="n">
        <f aca="false">F24/0.08</f>
        <v>175</v>
      </c>
      <c r="I24" s="24" t="n">
        <f aca="false">F24/0.12</f>
        <v>116.666666666667</v>
      </c>
    </row>
    <row r="25" customFormat="false" ht="15" hidden="false" customHeight="false" outlineLevel="0" collapsed="false">
      <c r="A25" s="10" t="n">
        <v>5</v>
      </c>
      <c r="B25" s="10" t="s">
        <v>497</v>
      </c>
      <c r="C25" s="10" t="s">
        <v>1109</v>
      </c>
      <c r="D25" s="10" t="n">
        <f aca="false">2*Inputs!$B$8</f>
        <v>4</v>
      </c>
      <c r="E25" s="10" t="n">
        <v>10</v>
      </c>
      <c r="F25" s="10" t="n">
        <f aca="false">D25+E25</f>
        <v>14</v>
      </c>
      <c r="G25" s="24" t="n">
        <f aca="false">F25/0.04</f>
        <v>350</v>
      </c>
      <c r="H25" s="24" t="n">
        <f aca="false">F25/0.08</f>
        <v>175</v>
      </c>
      <c r="I25" s="24" t="n">
        <f aca="false">F25/0.12</f>
        <v>116.666666666667</v>
      </c>
    </row>
    <row r="26" customFormat="false" ht="15" hidden="false" customHeight="false" outlineLevel="0" collapsed="false">
      <c r="A26" s="10" t="n">
        <v>5</v>
      </c>
      <c r="B26" s="10" t="s">
        <v>573</v>
      </c>
      <c r="C26" s="10" t="s">
        <v>510</v>
      </c>
      <c r="D26" s="10" t="n">
        <f aca="false">1*Inputs!$B$8</f>
        <v>2</v>
      </c>
      <c r="E26" s="10" t="n">
        <v>10</v>
      </c>
      <c r="F26" s="10" t="n">
        <f aca="false">D26+E26</f>
        <v>12</v>
      </c>
      <c r="G26" s="24" t="n">
        <f aca="false">F26/0.04</f>
        <v>300</v>
      </c>
      <c r="H26" s="24" t="n">
        <f aca="false">F26/0.08</f>
        <v>150</v>
      </c>
      <c r="I26" s="24" t="n">
        <f aca="false">F26/0.12</f>
        <v>100</v>
      </c>
    </row>
    <row r="27" customFormat="false" ht="15" hidden="false" customHeight="false" outlineLevel="0" collapsed="false">
      <c r="A27" s="10" t="n">
        <v>6</v>
      </c>
      <c r="B27" s="10" t="s">
        <v>222</v>
      </c>
      <c r="C27" s="10" t="s">
        <v>1106</v>
      </c>
      <c r="D27" s="10" t="n">
        <f aca="false">2*Inputs!$B$8</f>
        <v>4</v>
      </c>
      <c r="E27" s="10" t="n">
        <v>10</v>
      </c>
      <c r="F27" s="10" t="n">
        <f aca="false">D27+E27</f>
        <v>14</v>
      </c>
      <c r="G27" s="24" t="n">
        <f aca="false">F27/0.04</f>
        <v>350</v>
      </c>
      <c r="H27" s="24" t="n">
        <f aca="false">F27/0.08</f>
        <v>175</v>
      </c>
      <c r="I27" s="24" t="n">
        <f aca="false">F27/0.12</f>
        <v>116.666666666667</v>
      </c>
    </row>
    <row r="28" customFormat="false" ht="15" hidden="false" customHeight="false" outlineLevel="0" collapsed="false">
      <c r="A28" s="10" t="n">
        <v>6</v>
      </c>
      <c r="B28" s="10" t="s">
        <v>334</v>
      </c>
      <c r="C28" s="10" t="s">
        <v>1107</v>
      </c>
      <c r="D28" s="10" t="n">
        <f aca="false">2*Inputs!$B$8</f>
        <v>4</v>
      </c>
      <c r="E28" s="10" t="n">
        <v>10</v>
      </c>
      <c r="F28" s="10" t="n">
        <f aca="false">D28+E28</f>
        <v>14</v>
      </c>
      <c r="G28" s="24" t="n">
        <f aca="false">F28/0.04</f>
        <v>350</v>
      </c>
      <c r="H28" s="24" t="n">
        <f aca="false">F28/0.08</f>
        <v>175</v>
      </c>
      <c r="I28" s="24" t="n">
        <f aca="false">F28/0.12</f>
        <v>116.666666666667</v>
      </c>
    </row>
    <row r="29" customFormat="false" ht="15" hidden="false" customHeight="false" outlineLevel="0" collapsed="false">
      <c r="A29" s="10" t="n">
        <v>6</v>
      </c>
      <c r="B29" s="10" t="s">
        <v>422</v>
      </c>
      <c r="C29" s="10" t="s">
        <v>1108</v>
      </c>
      <c r="D29" s="10" t="n">
        <f aca="false">2*Inputs!$B$8</f>
        <v>4</v>
      </c>
      <c r="E29" s="10" t="n">
        <v>10</v>
      </c>
      <c r="F29" s="10" t="n">
        <f aca="false">D29+E29</f>
        <v>14</v>
      </c>
      <c r="G29" s="24" t="n">
        <f aca="false">F29/0.04</f>
        <v>350</v>
      </c>
      <c r="H29" s="24" t="n">
        <f aca="false">F29/0.08</f>
        <v>175</v>
      </c>
      <c r="I29" s="24" t="n">
        <f aca="false">F29/0.12</f>
        <v>116.666666666667</v>
      </c>
    </row>
    <row r="30" customFormat="false" ht="15" hidden="false" customHeight="false" outlineLevel="0" collapsed="false">
      <c r="A30" s="10" t="n">
        <v>6</v>
      </c>
      <c r="B30" s="10" t="s">
        <v>508</v>
      </c>
      <c r="C30" s="10" t="s">
        <v>1109</v>
      </c>
      <c r="D30" s="10" t="n">
        <f aca="false">2*Inputs!$B$8</f>
        <v>4</v>
      </c>
      <c r="E30" s="10" t="n">
        <v>10</v>
      </c>
      <c r="F30" s="10" t="n">
        <f aca="false">D30+E30</f>
        <v>14</v>
      </c>
      <c r="G30" s="24" t="n">
        <f aca="false">F30/0.04</f>
        <v>350</v>
      </c>
      <c r="H30" s="24" t="n">
        <f aca="false">F30/0.08</f>
        <v>175</v>
      </c>
      <c r="I30" s="24" t="n">
        <f aca="false">F30/0.12</f>
        <v>116.666666666667</v>
      </c>
    </row>
    <row r="31" customFormat="false" ht="15" hidden="false" customHeight="false" outlineLevel="0" collapsed="false">
      <c r="A31" s="10" t="n">
        <v>6</v>
      </c>
      <c r="B31" s="10" t="s">
        <v>583</v>
      </c>
      <c r="C31" s="10" t="s">
        <v>510</v>
      </c>
      <c r="D31" s="10" t="n">
        <f aca="false">1*Inputs!$B$8</f>
        <v>2</v>
      </c>
      <c r="E31" s="10" t="n">
        <v>10</v>
      </c>
      <c r="F31" s="10" t="n">
        <f aca="false">D31+E31</f>
        <v>12</v>
      </c>
      <c r="G31" s="24" t="n">
        <f aca="false">F31/0.04</f>
        <v>300</v>
      </c>
      <c r="H31" s="24" t="n">
        <f aca="false">F31/0.08</f>
        <v>150</v>
      </c>
      <c r="I31" s="24" t="n">
        <f aca="false">F31/0.12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7"/>
    <col collapsed="false" customWidth="true" hidden="false" outlineLevel="0" max="4" min="4" style="0" width="14"/>
    <col collapsed="false" customWidth="true" hidden="false" outlineLevel="0" max="5" min="5" style="0" width="13"/>
  </cols>
  <sheetData>
    <row r="1" customFormat="false" ht="15" hidden="false" customHeight="false" outlineLevel="0" collapsed="false">
      <c r="A1" s="13" t="s">
        <v>0</v>
      </c>
      <c r="B1" s="13" t="s">
        <v>1110</v>
      </c>
      <c r="C1" s="13" t="s">
        <v>1111</v>
      </c>
      <c r="D1" s="13" t="s">
        <v>1112</v>
      </c>
      <c r="E1" s="13" t="s">
        <v>1113</v>
      </c>
    </row>
    <row r="2" customFormat="false" ht="15" hidden="false" customHeight="false" outlineLevel="0" collapsed="false">
      <c r="A2" s="0" t="s">
        <v>19</v>
      </c>
      <c r="B2" s="0" t="n">
        <v>10</v>
      </c>
      <c r="C2" s="0" t="n">
        <v>6</v>
      </c>
      <c r="D2" s="0" t="n">
        <v>60</v>
      </c>
      <c r="E2" s="0" t="s">
        <v>219</v>
      </c>
    </row>
    <row r="3" customFormat="false" ht="15" hidden="false" customHeight="false" outlineLevel="0" collapsed="false">
      <c r="A3" s="0" t="s">
        <v>224</v>
      </c>
      <c r="B3" s="0" t="n">
        <v>10</v>
      </c>
      <c r="C3" s="0" t="n">
        <v>6</v>
      </c>
      <c r="D3" s="0" t="n">
        <v>60</v>
      </c>
      <c r="E3" s="0" t="s">
        <v>219</v>
      </c>
    </row>
    <row r="4" customFormat="false" ht="15" hidden="false" customHeight="false" outlineLevel="0" collapsed="false">
      <c r="A4" s="0" t="s">
        <v>336</v>
      </c>
      <c r="B4" s="0" t="n">
        <v>10</v>
      </c>
      <c r="C4" s="0" t="n">
        <v>6</v>
      </c>
      <c r="D4" s="0" t="n">
        <v>60</v>
      </c>
      <c r="E4" s="0" t="s">
        <v>219</v>
      </c>
    </row>
    <row r="5" customFormat="false" ht="15" hidden="false" customHeight="false" outlineLevel="0" collapsed="false">
      <c r="A5" s="0" t="s">
        <v>424</v>
      </c>
      <c r="B5" s="0" t="n">
        <v>10</v>
      </c>
      <c r="C5" s="0" t="n">
        <v>6</v>
      </c>
      <c r="D5" s="0" t="n">
        <v>60</v>
      </c>
      <c r="E5" s="0" t="s">
        <v>219</v>
      </c>
    </row>
    <row r="6" customFormat="false" ht="15" hidden="false" customHeight="false" outlineLevel="0" collapsed="false">
      <c r="A6" s="0" t="s">
        <v>510</v>
      </c>
      <c r="B6" s="0" t="n">
        <v>10</v>
      </c>
      <c r="C6" s="0" t="n">
        <v>6</v>
      </c>
      <c r="D6" s="0" t="n">
        <v>60</v>
      </c>
      <c r="E6" s="0" t="s">
        <v>219</v>
      </c>
    </row>
    <row r="7" customFormat="false" ht="15" hidden="false" customHeight="false" outlineLevel="0" collapsed="false">
      <c r="A7" s="0" t="s">
        <v>585</v>
      </c>
      <c r="B7" s="0" t="n">
        <v>10</v>
      </c>
      <c r="C7" s="0" t="n">
        <v>6</v>
      </c>
      <c r="D7" s="0" t="n">
        <v>60</v>
      </c>
      <c r="E7" s="0" t="s">
        <v>219</v>
      </c>
    </row>
    <row r="8" customFormat="false" ht="15" hidden="false" customHeight="false" outlineLevel="0" collapsed="false">
      <c r="A8" s="0" t="s">
        <v>665</v>
      </c>
      <c r="B8" s="0" t="n">
        <v>10</v>
      </c>
      <c r="C8" s="0" t="n">
        <v>6</v>
      </c>
      <c r="D8" s="0" t="n">
        <v>60</v>
      </c>
      <c r="E8" s="0" t="s">
        <v>219</v>
      </c>
    </row>
    <row r="9" customFormat="false" ht="15" hidden="false" customHeight="false" outlineLevel="0" collapsed="false">
      <c r="A9" s="0" t="s">
        <v>728</v>
      </c>
      <c r="B9" s="0" t="n">
        <v>10</v>
      </c>
      <c r="C9" s="0" t="n">
        <v>6</v>
      </c>
      <c r="D9" s="0" t="n">
        <v>60</v>
      </c>
      <c r="E9" s="0" t="s">
        <v>219</v>
      </c>
    </row>
    <row r="10" customFormat="false" ht="15" hidden="false" customHeight="false" outlineLevel="0" collapsed="false">
      <c r="A10" s="0" t="s">
        <v>781</v>
      </c>
      <c r="B10" s="0" t="n">
        <v>10</v>
      </c>
      <c r="C10" s="0" t="n">
        <v>6</v>
      </c>
      <c r="D10" s="0" t="n">
        <v>60</v>
      </c>
      <c r="E10" s="0" t="s">
        <v>219</v>
      </c>
    </row>
    <row r="11" customFormat="false" ht="15" hidden="false" customHeight="false" outlineLevel="0" collapsed="false">
      <c r="A11" s="20" t="s">
        <v>1114</v>
      </c>
      <c r="B11" s="20" t="n">
        <v>90</v>
      </c>
      <c r="C11" s="20"/>
      <c r="D11" s="20" t="n">
        <v>540</v>
      </c>
      <c r="E11" s="2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2026-10-21T21:07:09Z</dcterms:created>
  <dc:creator>openpyxl</dc:creator>
  <dc:description/>
  <dc:language>en-US</dc:language>
  <cp:lastModifiedBy/>
  <dcterms:modified xsi:type="dcterms:W3CDTF">2026-10-21T21:07:09Z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